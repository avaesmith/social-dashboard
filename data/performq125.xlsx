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aesmith/Desktop/"/>
    </mc:Choice>
  </mc:AlternateContent>
  <xr:revisionPtr revIDLastSave="0" documentId="13_ncr:1_{793A11BE-F01E-F14B-A4DA-0EFB128B1DCD}" xr6:coauthVersionLast="47" xr6:coauthVersionMax="47" xr10:uidLastSave="{00000000-0000-0000-0000-000000000000}"/>
  <bookViews>
    <workbookView xWindow="3180" yWindow="760" windowWidth="27640" windowHeight="16940" xr2:uid="{C7618AAF-B562-B34A-B218-7DE066C3ED63}"/>
  </bookViews>
  <sheets>
    <sheet name="performq1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8" i="1" l="1"/>
  <c r="P108" i="1"/>
  <c r="O108" i="1"/>
  <c r="N108" i="1"/>
  <c r="M108" i="1"/>
  <c r="L108" i="1"/>
  <c r="Q79" i="1"/>
  <c r="P79" i="1"/>
  <c r="O79" i="1"/>
  <c r="N79" i="1"/>
  <c r="M79" i="1"/>
  <c r="L79" i="1"/>
  <c r="Q29" i="1"/>
  <c r="P29" i="1"/>
  <c r="O29" i="1"/>
  <c r="N29" i="1"/>
  <c r="M29" i="1"/>
  <c r="L29" i="1"/>
</calcChain>
</file>

<file path=xl/sharedStrings.xml><?xml version="1.0" encoding="utf-8"?>
<sst xmlns="http://schemas.openxmlformats.org/spreadsheetml/2006/main" count="1148" uniqueCount="320">
  <si>
    <t>Network</t>
  </si>
  <si>
    <t>Page Name</t>
  </si>
  <si>
    <t>Published time (America/Los_Angeles)</t>
  </si>
  <si>
    <t>Post Type</t>
  </si>
  <si>
    <t>Placement</t>
  </si>
  <si>
    <t>Dark</t>
  </si>
  <si>
    <t>Promoted</t>
  </si>
  <si>
    <t>Reshare</t>
  </si>
  <si>
    <t>Post text</t>
  </si>
  <si>
    <t>Post URL</t>
  </si>
  <si>
    <t>Post ID</t>
  </si>
  <si>
    <t>Impressions</t>
  </si>
  <si>
    <t>Engagements</t>
  </si>
  <si>
    <t>Reach</t>
  </si>
  <si>
    <t>Video views</t>
  </si>
  <si>
    <t>Engagement rate (reach)</t>
  </si>
  <si>
    <t>Shares</t>
  </si>
  <si>
    <t>IMAGE</t>
  </si>
  <si>
    <t>Timeline</t>
  </si>
  <si>
    <t>-</t>
  </si>
  <si>
    <t>No</t>
  </si>
  <si>
    <t>LINKEDIN</t>
  </si>
  <si>
    <t>Impact Networking, LLC</t>
  </si>
  <si>
    <t>LINK</t>
  </si>
  <si>
    <t>üí•The newest edition of The Edge has dropped üí• This month we're covering:  1. Marketing experts analyze real-world ad campaigns ‚Äì Learn what makes an ad effective from industry professionals.  2. Defining success in digital transformation ‚Äì Understand how to track progress and measure meaningful business outcomes.  3. CMMC 2.0 compliance explained ‚Äì Find out what it means for your business and how to stay compliant.  Don‚Äôt forget to hit the subscribe button. ‚¨áÔ∏è  {hashtag|\#|businessnewsletter} {hashtag|\#|biznewsletter} {hashtag|\#|biznews} {hashtag|\#|marketingnews} {hashtag|\#|cmmc} {hashtag|\#|dx}</t>
  </si>
  <si>
    <t>https://www.linkedin.com/feed/update/urn:li:ugcPost:7308532181927112704</t>
  </si>
  <si>
    <t>urn:li:ugcPost:7308532181927112704</t>
  </si>
  <si>
    <t>TEXT</t>
  </si>
  <si>
    <t>Yes</t>
  </si>
  <si>
    <t>@[LK Hoopingarner](urn:li:person:7YOAz\_thf3), Vice President of Managed Marketing at Impact, shares her takeaways from a recent training with @[Effective Presentations](urn:li:organization:1659371). üí°  In this training, participants are introduced to a 7-step framework designed to enhance clarity, engagement, and persuasiveness in presentations. All essential aspects of storytelling in business presentations.   Check out what she learned and how you can improve your future presentations. ‚¨áÔ∏è  {hashtag|\#|Marketing} {hashtag|\#|ManagedMarketing} {hashtag|\#|EffectivePresentations}</t>
  </si>
  <si>
    <t>https://www.linkedin.com/feed/update/urn:li:ugcPost:7308546807003852800</t>
  </si>
  <si>
    <t>urn:li:ugcPost:7308546807003852800</t>
  </si>
  <si>
    <t>INSTAGRAM</t>
  </si>
  <si>
    <t>Impact Networking</t>
  </si>
  <si>
    <t>Just because you rolled out new #tech doesn't mean your employees know how to use it.‚Å† ‚Å† 80% of companies think they're tech adoption pros, but 90% of employees say otherwise. üëÄ‚Å† ‚Å† So, what's the truth? Learn more from our Business Technology Adoption Report in our bio! ‚ú®</t>
  </si>
  <si>
    <t>https://www.instagram.com/p/DHtdwgvSrec/</t>
  </si>
  <si>
    <t>80% of businesses feel confident about tech adoption. Yet, 90% of employees say they still struggle with it. Where's the disconnect? ü§î  Our latest Business Technology Adoption Report breaks down: ‚úÖ Why businesses think they're winning at tech adoption \(but employees disagree\) ‚úÖ What the most successful companies are doing differently ‚úÖ How your business can bridge the gap and make tech adoption work  Get the insights &amp; strategies üëâ https://hubs.ly/Q03cQTny0  {hashtag|\#|Tech} {hashtag|\#|TechAdoption} {hashtag|\#|DigitalTransformation} {hashtag|\#|Innovation}</t>
  </si>
  <si>
    <t>https://www.linkedin.com/feed/update/urn:li:share:7311054481981353984</t>
  </si>
  <si>
    <t>urn:li:share:7311054481981353984</t>
  </si>
  <si>
    <t>We recently partnered with¬†@[Videospan](urn:li:organization:76593218)¬†to elevate our video content¬†internally and externally. üìπ‚ú® ¬† If you‚Äôve noticed more video short form magic happening on our channels lately, it's all thanks to this platform.</t>
  </si>
  <si>
    <t>https://www.linkedin.com/feed/update/urn:li:ugcPost:7310766045865066497</t>
  </si>
  <si>
    <t>urn:li:ugcPost:7310766045865066497</t>
  </si>
  <si>
    <t>YOUTUBE</t>
  </si>
  <si>
    <t>Impact My Biz</t>
  </si>
  <si>
    <t>SHORT</t>
  </si>
  <si>
    <t>This is your sign to thank an IT support member. ‚ù§Ô∏è  When technology hits a roadblock, businesses are susceptible to pitfalls of disparate systems. More than annoyance, this can lead to inefficiencies in processes, wasted resources, and data isolation. üò•  Think of this as your cheat sheet to running smoother business operations üëâ https://hubs.ly/Q03dnljq0  #Tech #DigitalTransformation #Checklist</t>
  </si>
  <si>
    <t>https://www.youtube.com/shorts/p9MGgOQ79FY</t>
  </si>
  <si>
    <t>p9MGgOQ79FY</t>
  </si>
  <si>
    <t>VIDEO</t>
  </si>
  <si>
    <t>Psst we have a secret to tell you. üëÄ  Your outdated technology systems are more than likely what's causing stress and annoyance from employees.  When technology hits a roadblock, businesses are susceptible to pitfalls of disparate systems. More than annoyance, this can lead to inefficiencies in processes, wasted resources, and data isolation. üò•  We looked at some of the most innovative companies and broke down what technology they are using and what you can do to implement them into your business.  Think of it as your cheat sheet to running smoother business operations üëâ https://hubs.ly/Q03dnkrJ0  {hashtag|\#|Tech} {hashtag|\#|DigitalTransformation} {hashtag|\#|BusinessChecklist}</t>
  </si>
  <si>
    <t>https://www.linkedin.com/feed/update/urn:li:ugcPost:7310677584697036800</t>
  </si>
  <si>
    <t>urn:li:ugcPost:7310677584697036800</t>
  </si>
  <si>
    <t>REELS</t>
  </si>
  <si>
    <t>This is your sign to thank an #IT support member. ‚ù§Ô∏è</t>
  </si>
  <si>
    <t>https://www.instagram.com/reel/DHqk9Qhx-Jj/</t>
  </si>
  <si>
    <t>The customer journey is made up of several interactions a consumer has with a brand.   Effective touch points are designed to meet customer needs, spark positive emotions, and align seamlessly with their expectations. That's why your strategy should be carefully planned from the get-go! üèÉ  These touch points include: 1Ô∏è‚É£ Pre-purchase: ad, social media, and promos 2Ô∏è‚É£ Time of purchase: landing pages, product packaging, and brick and mortar vists 3Ô∏è‚É£ Post-purchase: thank you emails, follow-ups, newsletters  Check out our blog to see how you can create effective touchpoints that resonate with your audience üëâ https://hubs.ly/Q03dkVv80  {hashtag|\#|ManagedMarketing} {hashtag|\#|Marketing} {hashtag|\#|CustomerJourney}</t>
  </si>
  <si>
    <t>https://www.linkedin.com/feed/update/urn:li:share:7310323879602765824</t>
  </si>
  <si>
    <t>urn:li:share:7310323879602765824</t>
  </si>
  <si>
    <t>A match made in (#email) heaven! üíå‚ú®‚Å† ‚Å† You deserve to open something in your inbox worth swooning over. ‚ù§Ô∏è ‚Å† The Edge is just the newsletter for that!‚Å† ‚Å† It's your go-to for the latest business &amp; #tech insights without all the fluff. ‚Å† ‚Å† Just good reads, fresh #trends, and the kind of emails you'll want to open.‚Å† Head to our bio to subscribe for newsletter &amp; inbox goals!</t>
  </si>
  <si>
    <t>https://www.instagram.com/p/DHl8gZaynif/</t>
  </si>
  <si>
    <t>A match made in \(email\) heaven! üíå‚ú®  You deserve to open something in your inbox worth swooning over. ‚ù§Ô∏è The Edge is just the newsletter for that!  It's your go-to for the latest business &amp; tech insights without all the fluff. Just good reads, fresh trends, and the kind of emails you'll want to open.  Head to https://hubs.ly/Q03cQX3t0 and subscribe for newsletter &amp; inbox goals!  {hashtag|\#|TechNewsletter} {hashtag|\#|TechBlog} {hashtag|\#|BusinessInsights}</t>
  </si>
  <si>
    <t>https://www.linkedin.com/feed/update/urn:li:share:7309944609759973376</t>
  </si>
  <si>
    <t>urn:li:share:7309944609759973376</t>
  </si>
  <si>
    <t>With 65% of businesses experiencing cybersecurity incidents last year, and 43% of attacks targeting small businesses, cybersecurity is more important than ever.    In this episode of Tech Trends, we explore how AI and social media are now on the list of cybercriminal platforms.    Check out more about why cybersecurity is worth it: https://tinyurl.com/2xxzxrk8  Discover a great career with Impact here: https://bit.ly/3HHzuro  Explore what Impact can do for you: https://bit.ly/3UG087v  Subscribe to our newsletter: https://www.impactmybiz.com/subscribe/  Follow Impact on social media!  LinkedIn: https://www.linkedin.com/company/impact-networking Facebook: https://www.facebook.com/impactmybiz Twitter: https://twitter.com/impactmybiz Instagram: https://www.instagram.com/impactmybiz/?hl=en</t>
  </si>
  <si>
    <t>https://www.youtube.com/shorts/zfyDJk6jz9A</t>
  </si>
  <si>
    <t>zfyDJk6jz9A</t>
  </si>
  <si>
    <t>DOCUMENT</t>
  </si>
  <si>
    <t>We believe that hard work should pay off! Each year, we celebrate our top-performing sales team members with an unforgettable trip, and this time, we took on the Swiss Alps! üèîÔ∏è‚ú®  At Impact, One Team isn‚Äôt just a core value‚Äîit‚Äôs how we operate. We win together, we grow together, and these team members performers prove it every day.  Check out some of our memories! ‚ù§Ô∏è  Interested in a sales career at Impact? Check out our open positions at https://hubs.ly/Q03cNtq\_0  üì∏ credits: \@Lucio Andreozzi</t>
  </si>
  <si>
    <t>https://www.linkedin.com/feed/update/urn:li:ugcPost:7308865071839920128</t>
  </si>
  <si>
    <t>urn:li:ugcPost:7308865071839920128</t>
  </si>
  <si>
    <t>With 65% of businesses experiencing cybersecurity incidents last year, and 43% of attacks targeting small businesses, cybersecurity is more important than ever.    In this episode of Tech Trends, we explore how AI and social media are now on the list of cybercriminal platforms. üîêüí™  Check out more about why cybersecurity is worth it: https://lnkd.in/gDv9fVbv  {hashtag|\#|Cybersecurity} {hashtag|\#|TechTrends}</t>
  </si>
  <si>
    <t>https://www.linkedin.com/feed/update/urn:li:ugcPost:7308536609497305089</t>
  </si>
  <si>
    <t>urn:li:ugcPost:7308536609497305089</t>
  </si>
  <si>
    <t>With 65% of businesses experiencing cybersecurity incidents last year, and 43% of attacks targeting small businesses, cybersecurity is more important than ever. üîêüí™‚Å† ‚Å† In this episode of Tech Trends, we explore how AI and social media are now on the list of cybercriminal platforms.‚Å† ‚Å† Check out more about why cybersecurity is worth it at the link in our bio. ‚§¥Ô∏è‚Å† ‚Å† #TechTrends #Cybersec #CybersecurityTips</t>
  </si>
  <si>
    <t>https://www.instagram.com/reel/DHbbmdZJHWL/</t>
  </si>
  <si>
    <t>üö® TOMORROW IS THE DAY! üö®  We‚Äôre sitting down with David Clark, Director of IT at @[The HFW Companies](urn:li:organization:64723387) to talk about their major business technology adoption journey‚Äîwhat worked, what didn‚Äôt, and how they overcame the challenges.  If you‚Äôre rolling out new tech \(or planning to\), this is the conversation you can‚Äôt afford to miss.  It‚Äôs time to discuss what actually makes tech adoption successful!  Save your spot now!  üëâ https://hubs.ly/Q03bZtM90  {hashtag|\#|Webinar} {hashtag|\#|TechTrends} {hashtag|\#|Tech}</t>
  </si>
  <si>
    <t>https://www.linkedin.com/feed/update/urn:li:share:7308140321316450304</t>
  </si>
  <si>
    <t>urn:li:share:7308140321316450304</t>
  </si>
  <si>
    <t>CAROUSEL</t>
  </si>
  <si>
    <t>Work... where fun isn‚Äôt just encouraged‚Äîit‚Äôs part of the job. üéâ‚Å† ‚Å† At Impact, we know that when people enjoy where they work, they do their best work. Whether it‚Äôs team celebrations, inside jokes, or just turning everyday tasks into something exciting, we make work a place you actually want to be.‚Å† ‚Å† üöÄ Ready to build a #career where you can grow, thrive, and have fun doing it? We‚Äôre #hiring! See open roles in our bio!‚Å†</t>
  </si>
  <si>
    <t>https://www.instagram.com/p/DHWg6WAzbr7/</t>
  </si>
  <si>
    <t>We fuel work with fun, knowing life's too short to be boring. üéâ  At Impact, we believe that a great company culture isn't just what you do- it's how you do it. Whether we're collaborating on big projects, celebrating together in Mexico, or just bringing energy into everyday moments, we make sure to enjoy the ride. üòé  Because when people love where they work, great things happen. Looking for a career where you can grow, make an impact, and actually have fun doing it? We're hiring! Check out our open positions. üëâ https://hubs.ly/Q03bZDrx0  {hashtag|\#|Hiring} {hashtag|\#|TechJobs} {hashtag|\#|SalesJobs}</t>
  </si>
  <si>
    <t>https://www.linkedin.com/feed/update/urn:li:ugcPost:7307777892564840448</t>
  </si>
  <si>
    <t>urn:li:ugcPost:7307777892564840448</t>
  </si>
  <si>
    <t>Your manufacturing data is calling - are you picking up? ‚òéÔ∏èüëÄ‚Å† ‚Å† Manufacturers who use real-time analytics:‚Å† ‚öôÔ∏è Reduce downtime‚Å† ‚öôÔ∏è Lower costs‚Å† ‚öôÔ∏è Improve product quality‚Å† ‚Å† Yet, so many of these companies still rely on outdated systems or gut instinct. ‚Å† ‚Å† See how you can start harnessing the power of data in our bio! ‚§¥Ô∏è‚Å† ‚Å† #DataAnalytics #AI #Tech #Innovation</t>
  </si>
  <si>
    <t>https://www.instagram.com/p/DHT7xeES6Y7/</t>
  </si>
  <si>
    <t>In manufacturing, data analytics plays a pivotal role by transforming raw data into actionable insights, enhancing efficiency, productivity, and decision-making. üßë‚Äçüè≠‚öôÔ∏è  Manufacturers can use data in many ways such as: ‚öôÔ∏è Inventory management ‚öôÔ∏è Supply chain management ‚öôÔ∏è Production optimization It can also help by lowering operational costs and cutting downtime and fewer defects! Yet, many manufacturers aren't fully harnessing their data's potential. ü´¢  By integrating new-aged technology like AI, manufacturing companies can do even more with their data!  See how you can start harnessing the power of data in our blog   üëâ https://hubs.ly/Q03c86hG0  {hashtag|\#|DataAnalytics} {hashtag|\#|AI} {hashtag|\#|Tech} {hashtag|\#|Innovation}</t>
  </si>
  <si>
    <t>https://www.linkedin.com/feed/update/urn:li:ugcPost:7307459290968088577</t>
  </si>
  <si>
    <t>urn:li:ugcPost:7307459290968088577</t>
  </si>
  <si>
    <t>Let's be real, no one wants to spend time on repetitive tasks that #AI can handle in seconds. The real flex? Using AI to work smarter, not harder. ‚ú®üíª‚Å† ‚Å† AI isn't just a buzzword, it's changing the game for businesses looking to enhance efficiency, automate tasks, and improve decision-making. But if you don't have the right strategy, it can feel overwhelming‚Å† ‚Å† Check out how Impact is changing the AI game at the link in our bio!‚Å† #TechTrends #DigitalTransformation</t>
  </si>
  <si>
    <t>https://www.instagram.com/reel/DHJaCrHKPsR/</t>
  </si>
  <si>
    <t>Discover a great career with Impact here: https://bit.ly/3HHzuro  Explore what Impact can do for you: https://bit.ly/3UG087v  Subscribe to our newsletter: https://www.impactmybiz.com/subscribe/  Follow Impact on social media!  LinkedIn: https://www.linkedin.com/company/impact-networking Facebook: https://www.facebook.com/impactmybiz Twitter: https://twitter.com/impactmybiz Instagram: https://www.instagram.com/impactmybiz/?hl=en</t>
  </si>
  <si>
    <t>https://www.youtube.com/shorts/8hd7YxTaKMU</t>
  </si>
  <si>
    <t>8hd7YxTaKMU</t>
  </si>
  <si>
    <t>77% of companies are already using or exploring AI. The question is - how are you using it to your advantage? üëÄüíª  AI isn't just a buzzword, it's changing the game for businesses looking to enhance efficiency, automate tasks, and improve decision-making. But if you don't have the right strategy, it can feel overwhelming.  Our clients navigate the complexities of AI by: ‚úÖ Finding opportunities for operations ‚úÖ Creating a strategy that aligns with goals ‚úÖ Use AI tools within workflows ‚úÖ Optimize solutions for long-term success  AI shouldn't replace workers - it should help them work smarter! Check out how Impact is changing the AI game üëâ https://bit.ly/43sC13P  {hashtag|\#|AI} {hashtag|\#|AIStrategy} {hashtag|\#|DigitalTransformation}</t>
  </si>
  <si>
    <t>https://www.linkedin.com/feed/update/urn:li:ugcPost:7305974029876703234</t>
  </si>
  <si>
    <t>urn:li:ugcPost:7305974029876703234</t>
  </si>
  <si>
    <t>AI shouldn't replace workers - it should help them work smarter!  Companies that successfully adopt AI see higher productivity, reduced inefficiencies and smarter decision making. But AI implementation isn't one-size-fits-all, it needs to be tailored to your unique business needs.  77% of companies are already using or exploring AI. The question is - how are you using it to your advantage? üëÄüíª  Check out how Impact is changing the AI game üëâ https://tinyurl.com/47x8jvwf  #AI #AIStrategy #DigitalTransformation   Discover a great career with Impact here: https://bit.ly/3HHzuro  Explore what Impact can do for you: https://bit.ly/3UG087v  Subscribe to our newsletter: https://www.impactmybiz.com/subscribe/  Follow Impact on social media!  LinkedIn: https://www.linkedin.com/company/impact-networking Facebook: https://www.facebook.com/impactmybiz Twitter: https://twitter.com/impactmybiz Instagram: https://www.instagram.com/impactmybiz/?hl=en</t>
  </si>
  <si>
    <t>https://www.youtube.com/shorts/i1m-soxHdDQ</t>
  </si>
  <si>
    <t>i1m-soxHdDQ</t>
  </si>
  <si>
    <t>Tech adoption isn‚Äôt just about implementing new tools ‚Äì it‚Äôs about making sure employees can actually use them effectively.   Too often, companies underestimate the human side of tech rollouts, leaving employees frustrated and struggling to keep up.   Tune in March 20th at 1pm CST where we‚Äôre featuring one of our very own clients, David Clark, Director of IT at The @[The HFW Companies](urn:li:organization:64723387), who‚Äôs successfully tackled a major tech transition.  We‚Äôll discuss:    ‚ú® The biggest challenges in tech adoption ‚ú® Strategies that actually work  ‚ú® How to ensure employees feel empowered, not overwhelmed   Save your spot now! üëâ https://bit.ly/3DjvHRH  {hashtag|\#|Webinar} {hashtag|\#|TechAdoption} {hashtag|\#|TechTrends}</t>
  </si>
  <si>
    <t>https://www.linkedin.com/feed/update/urn:li:share:7305641449755156481</t>
  </si>
  <si>
    <t>urn:li:share:7305641449755156481</t>
  </si>
  <si>
    <t>https://www.youtube.com/shorts/dzt96H8nH7I</t>
  </si>
  <si>
    <t>dzt96H8nH7I</t>
  </si>
  <si>
    <t>https://www.youtube.com/shorts/d3vnzBbsPFw</t>
  </si>
  <si>
    <t>d3vnzBbsPFw</t>
  </si>
  <si>
    <t>https://www.youtube.com/watch?v=B1TSYmtoVGI</t>
  </si>
  <si>
    <t>B1TSYmtoVGI</t>
  </si>
  <si>
    <t>Your tech adoption strategy should make work easier... not make employees feel like they need to 'sever' themselves. üò∂‚Äçüå´Ô∏è‚Å† ‚Å† Get your copy of our Business Technology Adoption Report in our bio! ‚§¥Ô∏è</t>
  </si>
  <si>
    <t>https://www.instagram.com/p/DHEe2O8SUWt/</t>
  </si>
  <si>
    <t>Ever feel like your business is living a Severance episode, with technology on one side and operations on the other? üò∂‚Äçüå´Ô∏è  Here's the reality: ‚ú® 80% of companies think they're doing great at tech adoption. üò≥ 90% of employees say otherwise.  That means there's a HUGE disconnect. And what happens when a company rolls out new tech without the right strategy, training, and/or support? Employees are left confused, frustrated, and secretly relying on workarounds. ü´£  So, what's the fix? Bridging the gap between tech strategy and execution.  Check out our latest Business Technology Adoption Report where we break down: ‚úÖ Why businesses THINK they're succeeding at tech adoption \(but aren't\) ‚úÖ The biggest reasons employees struggle with new tools ‚úÖ How to build a seamless, strategic approach that actually works  Employees shouldn't have to live a Severance-style tech nightmare. üò±  Get the full break down üëâ https://bit.ly/41uDxzN  {hashtag|\#|TechAdoption} {hashtag|\#|Innovation} {hashtag|\#|BusinessGrowth}</t>
  </si>
  <si>
    <t>https://www.linkedin.com/feed/update/urn:li:ugcPost:7305241361971089412</t>
  </si>
  <si>
    <t>urn:li:ugcPost:7305241361971089412</t>
  </si>
  <si>
    <t>If your #socialmedia strategy is just 'posting to post' - we need to talk. üò¨‚Å† ‚Å† Often, we see brands treat social media like a bulletin board instead of two-way conversation. Who likes being talked AT? Rather, you need to have a strategy that intertwines engagement with authenticity, while also promoting your brand. ‚Å† ‚Å† That's why brands who focus on engagement over promotion, like @Duolingo and @HubSpot, see the most success! üéâ‚Å† ‚Å† Watch as we go over some key strategies every business should use, then head to our bio to learn more! ‚§¥Ô∏è‚Å† ‚Å† #MarketingTips #SocialMediaTips</t>
  </si>
  <si>
    <t>https://www.instagram.com/reel/DG3f8Mdt2FF/</t>
  </si>
  <si>
    <t>Social media marketing isn't just about posting - it's about connecting. ‚ù§Ô∏è  The best social media strategies don't just push promotions; they take time to build relationships with their audience. Customers want to engage with real people, not a business. So how do you strike the right balance? Brands that do it well see higher engagement, stronger loyalty, and more impact (no pun intended).  Take a look at our blog where we put together key strategies to help businesses use social media effectively üëâ https://tinyurl.com/mbf95frk  #SocialMediaTips  #Marketing #MarketingTips  Discover a great career with Impact here: https://bit.ly/3HHzuro  Explore what Impact can do for you: https://bit.ly/3UG087v  Subscribe to our newsletter: https://bit.ly/3JR8PtJ  Follow Impact on social media!  LinkedIn: https://www.linkedin.com/company/impact-networking Facebook: https://www.facebook.com/impactmybiz Twitter: https://twitter.com/impactmybiz Instagram: https://www.instagram.com/impactmybiz/?hl=en</t>
  </si>
  <si>
    <t>https://www.youtube.com/shorts/XKC72Fpmu6I</t>
  </si>
  <si>
    <t>XKC72Fpmu6I</t>
  </si>
  <si>
    <t>The businesses that win the social media game all have one thing in common: they build conversations. üó£Ô∏è  Yet, too many brands fall into the same trap:  ‚ùå Ignoring what their audience wants ‚ùå Treating social like a one-way street instead of a community ‚ùå Posting without understanding the value  Brands that stand out are:  ‚úÖ Consistent - show up with valuable content regularly ‚úÖ Engaging - ask, respond, and interact with followers ‚úÖ Data-driven - track performance and adjust accordingly ‚úÖ Authentic - people want to connect with people, not brands  Want to create a social media strategy that ACTUALLY works? We've broken down key tactics every business should be using today. Read the full guide here üëâ https://hubs.ly/Q038SyJN0  {hashtag|\#|SocialMediaTips} {hashtag|\#|Marketing} {hashtag|\#|MarketingTips}</t>
  </si>
  <si>
    <t>https://www.linkedin.com/feed/update/urn:li:ugcPost:7303444855605579778</t>
  </si>
  <si>
    <t>urn:li:ugcPost:7303444855605579778</t>
  </si>
  <si>
    <t>Women have always made an impact - past, present, and future! üí™‚Å† ‚Å† At Impact, we celebrate all the powerful women who shape today and tomorrow. Our Women at Impact ERG is dedicated to fostering growth, mentorship, and #empowerment. ‚ù§Ô∏è‚ú®‚Å† ‚Å† This #WomensHistoryMonth, we're proud to highlight the women of Impact who are breaking barriers and driving change every day. üíú‚Å† ‚Å† Tag a woman who inspires you!‚Å† ‚Å† #EmpoweredWomenEmpower</t>
  </si>
  <si>
    <t>https://www.instagram.com/reel/DG07KHDsujp/</t>
  </si>
  <si>
    <t>üë©‚Äçüíº Women belong in every industry, every boardroom, and every leadership role.  At Impact, we don't just celebrate Women's History Month - we actively work to create a culture where women thrive and feel empowered year-round. Our   Women at Impact ERG is dedicated to providing support, mentorship, and opportunities for growth, ensuring that women at all levels of the organization have the resources they need to lead and succeed. üíú  This month, we‚Äôre highlighting the women at Impact who are breaking barriers and making an impact every day.  Who‚Äôs a woman in your life or workplace that inspires you? Drop their name in the comments and let‚Äôs celebrate them together! #WomensHistoryMonth #EmpoweredWomenEmpower #MakeAnImpact  Acoustic Meditation 2 by Audionautix is licensed under a Creative Commons Attribution 4.0 license. https://creativecommons.org/licenses/by/4.0/  Discover a great career with Impact here: https://bit.ly/3HHzuro  Explore what Impact can do for you: https://bit.ly/3UG087v  Subscribe to our newsletter: https://bit.ly/3JR8PtJ  Follow Impact on social media!  LinkedIn: https://www.linkedin.com/company/impact-networking Facebook: https://www.facebook.com/impactmybiz Twitter: https://twitter.com/impactmybiz Instagram: https://www.instagram.com/impactmybiz/?hl=en</t>
  </si>
  <si>
    <t>https://www.youtube.com/shorts/2OiqfOPwlpc</t>
  </si>
  <si>
    <t>2OiqfOPwlpc</t>
  </si>
  <si>
    <t>Women belong in every room where decisions are made. üí™  At Impact, we‚Äôre committed to fostering an environment where women have the support, resources, and opportunities to lead and succeed. Through Women at Impact, our employee resource group, we‚Äôre driving initiatives that support mentorship, leadership development, and advocacy for gender equity. üíú  This Women‚Äôs History Month, we‚Äôre proud to highlight the women of Impact who are breaking barriers and driving change every day. ‚ú®  Tag a woman who inspires you! {hashtag|\#|EmpoweredWomenEmpower} {hashtag|\#|WomensHistoryMonth} {hashtag|\#|MakeAnImpact}</t>
  </si>
  <si>
    <t>https://www.linkedin.com/feed/update/urn:li:ugcPost:7303074895318372352</t>
  </si>
  <si>
    <t>urn:li:ugcPost:7303074895318372352</t>
  </si>
  <si>
    <t>Data lake or data warehouse? The way your business stores data impacts everything from analysis to decision-making. But how do you know which one is right for you?¬†ü§î  A data lake stores massive amounts of raw, unstructured data‚Äîperfect for businesses collecting data at scale for deep analysis later.  A data warehouse, on the other hand, organizes structured data for quick access, making it ideal for reporting and analytics. ¬† Choosing the right solution depends on your needs. Do you require flexibility and scale, or structured data for fast insights? ¬† Check out our article where we dive into the differences and figure out which one works best for your company!¬†üëá ¬† {hashtag|\#|DataPrivacy} {hashtag|\#|DataSafety} {hashtag|\#|CyberTips} {hashtag|\#|Cybersec}</t>
  </si>
  <si>
    <t>https://www.linkedin.com/feed/update/urn:li:ugcPost:7301363212069834752</t>
  </si>
  <si>
    <t>urn:li:ugcPost:7301363212069834752</t>
  </si>
  <si>
    <t>One of the big decisions you‚Äôll face when designing a website is whether to go with a static or dynamic site. There are pros and cons to both, and in this video, we‚Äôll walk you through everything you need to know to understand which one might be right for you.   Key Moments:  [00:00] Intro  [00:10] Difference Between Static &amp; Dynamic Websites  [00:28] What is a Static Website?  [00:53] Examples of Static Websites  [01:10] Pros &amp; Cons of Static Websites  [03:01] What is a Dynamic Website?  [03:48] Examples of Dynamic Websites  [04:06] Pros &amp; Cons of Dynamic Websites   Discover a great career with Impact here: https://bit.ly/3HHzuro  Explore what Impact can do for you: https://bit.ly/3UG087v  Subscribe to our newsletter: https://bit.ly/3JR8PtJ  Follow Impact on social media!  LinkedIn: https://www.linkedin.com/company/impact-networking Facebook: https://www.facebook.com/impactmybiz Twitter: https://twitter.com/impactmybiz Instagram: https://www.instagram.com/impactmybiz/?hl=en</t>
  </si>
  <si>
    <t>https://www.youtube.com/watch?v=_IuAo62TONg</t>
  </si>
  <si>
    <t>_IuAo62TONg</t>
  </si>
  <si>
    <t>February's edition of The Edge has just dropped! üí•  This month, we cover: - How tech adoption isn‚Äôt one size fits all - Why tech updates don‚Äôt succeed without the right strategy - How to learn from others who have already been through the same tech challenges  Don't forget to read and subscribe below! üëá  {hashtag|\#|businessnews} {hashtag|\#|businessnewsletter} {hashtag|\#|businesstechnewsletter} {hashtag|\#|biznews}  {hashtag|\#|cybernews} {hashtag|\#|marketingnews} {hashtag|\#|techadoption}</t>
  </si>
  <si>
    <t>https://www.linkedin.com/feed/update/urn:li:ugcPost:7298117623781695489</t>
  </si>
  <si>
    <t>urn:li:ugcPost:7298117623781695489</t>
  </si>
  <si>
    <t>Let‚Äôs be honest: adopting new #technology is not as simple as clicking ‚Äúnext‚Äù on a software update. ü§∑ It comes with challenges like lengthy learning curves, and productivity slip ups.‚Å† ‚Å† Our #BusinessTechnology Adoption Report digs deep into these challenges, exploring real world insights and providing strategies to help businesses overcome them.‚Å† ‚Å† Download the full report at the link in our bio for more insights that will help your business be ready for the future!</t>
  </si>
  <si>
    <t>https://www.instagram.com/p/DGi6IXDPQ48/</t>
  </si>
  <si>
    <t>Let‚Äôs be honest: adopting new technology is not as simple as clicking ‚Äúnext‚Äù on a software update. ü§∑ It comes with challenges such as lengthy learning curves and productivity slip ups.  But here‚Äôs a tip: companies that simplify the process, prioritize training, and communicate how new tech benefits everyone aren‚Äôt only adopting new tech but future-proofing their teams! ü§ùüíª  Our Business Technology Adoption Report digs deep into these challenges, exploring real world insights and providing strategies to help businesses overcome them.  Download the full report for more insights that will help your business be ready for the future! ‚¨áÔ∏è  https://hubs.ly/Q037MSq20  {hashtag|\#|Innovation} {hashtag|\#|BussinessTechnology} {hashtag|\#|Technology} {hashtag|\#|TechTrends}</t>
  </si>
  <si>
    <t>https://www.linkedin.com/feed/update/urn:li:ugcPost:7300534097628565504</t>
  </si>
  <si>
    <t>urn:li:ugcPost:7300534097628565504</t>
  </si>
  <si>
    <t>80% of companies say they have a strong tech adoption strategy, yet 90% of employees struggle with actually using that technology. üëÄüò≥   Where‚Äôs the disconnect? More importantly, how can businesses close the gap between confidence and reality?    Join us March 20th at 1pm CST for a webinar featuring @[Alexander Abernathy](urn:li:person:BgvejOiHc1), Consultant, Technology &amp; Security at Impact; and @[David Clark](urn:li:person:OoRGnEJbgV), Director of IT at @[The HFW Companies](urn:li:organization:64723387) as they talk about the why behind bad tech rollouts and how businesses can make this process as pain-free as possible.  Save your spot now! üëâ https://lnkd.in/dADtXa38  {hashtag|\#|Webinar} {hashtag|\#|TechAdoption} {hashtag|\#|TechTrends} {hashtag|\#|Tech}</t>
  </si>
  <si>
    <t>https://www.linkedin.com/feed/update/urn:li:ugcPost:7299831890834817024</t>
  </si>
  <si>
    <t>urn:li:ugcPost:7299831890834817024</t>
  </si>
  <si>
    <t>Smart cities use technology and #IoT to connect systems such as traffic, waste, and infrastructure, making life more efficient and #sustainable. Discover how current smart cities are leading the way in adapting real-time tech to improve urban life. üö¶üåÜ‚Å† ‚Å† Follow us for more #techtrends!‚Å† ‚Å† #SmartCity</t>
  </si>
  <si>
    <t>https://www.instagram.com/reel/DGTc0fhsbRh/</t>
  </si>
  <si>
    <t>Smart cities use technology and IoT to connect systems such as traffic, waste, and infrastructure, making life more efficient and sustainable. Discover how current smart cities are leading the way in adapting real-time tech to improve urban life. üö¶üåÜ   Follow us for more tech trends!    Check out these resources for more on Smart Cities:   https://www.ibm.com/topics/smart-city  https://earth.org/top-7-smart-cities-in-the-world/  https://www.mckinsey.com/capabilities/operations/our-insights/smart-cities-digital-solutions-for-a-more-livable-future   Discover a great career with Impact here: https://bit.ly/3HHzuro  Explore what Impact can do for you: https://bit.ly/3UG087v  Subscribe to our newsletter: https://bit.ly/3JR8PtJ  Follow Impact on social media!  LinkedIn: https://www.linkedin.com/company/impact-networking Facebook: https://www.facebook.com/impactmybiz Twitter: https://twitter.com/impactmybiz Instagram: https://www.instagram.com/impactmybiz/?hl=en</t>
  </si>
  <si>
    <t>https://www.youtube.com/shorts/hh0gw2rZyOM</t>
  </si>
  <si>
    <t>hh0gw2rZyOM</t>
  </si>
  <si>
    <t>Smart cities use technology and IoT to connect systems such as traffic, waste, and infrastructure, making life more efficient and sustainable. Discover how current smart cities are leading the way in adapting real-time tech to improve urban life. üö¶üåÜ  Follow us for more tech trends!  Checkout these resources for more on Smart Cities:  - https://hubs.ly/Q036F9f70  - https://hubs.ly/Q036Fr5B0  - https://hubs.ly/Q036Fj8K0   {hashtag|\#|SmartCity}, {hashtag|\#|IoT}, {hashtag|\#|IoTProjects}, {hashtag|\#|TechTrends}</t>
  </si>
  <si>
    <t>https://www.linkedin.com/feed/update/urn:li:ugcPost:7298363792017539073</t>
  </si>
  <si>
    <t>urn:li:ugcPost:7298363792017539073</t>
  </si>
  <si>
    <t xml:space="preserve">Check what our President of Managed IT Services, @[Patrick Layton](urn:li:person:PW4kLoUGj\_), ¬†has to say about the challenges and strategies behind transitioning from traditional print services to Managed IT Services‚Äîand why a consultative approach and cultural shift are key to making it work. üí™üíª  Read the full article here:¬†https://lnkd.in/eG56532A </t>
  </si>
  <si>
    <t>https://www.linkedin.com/feed/update/urn:li:share:7297701160809873408</t>
  </si>
  <si>
    <t>urn:li:share:7297701160809873408</t>
  </si>
  <si>
    <t>Imagine this: AI that adapts to you. Except, you don‚Äôt really have to imagine.   Listen in with a few of our AI experts, @Jon Evans and @Anna DeGiulio, as they explore how user-centric AI puts people back in control.    Watch the full video on our channel to see how AI can empower you to create, lead, and simplify!  #AI #Innovation #GenAI #TechTrends   Discover a great career with Impact here: https://bit.ly/3HHzuro  Explore what Impact can do for you: https://bit.ly/3UG087v  Subscribe to our newsletter: https://bit.ly/3JR8PtJ  Follow Impact on social media!  LinkedIn: https://www.linkedin.com/company/impact-networking Facebook: https://www.facebook.com/impactmybiz Twitter: https://twitter.com/impactmybiz Instagram: https://www.instagram.com/impactmybiz/?hl=en</t>
  </si>
  <si>
    <t>https://www.youtube.com/shorts/8HZDZ79IjUY</t>
  </si>
  <si>
    <t>8HZDZ79IjUY</t>
  </si>
  <si>
    <t>Imagine this: AI that adapts to you. Except, you don‚Äôt really have to imagine.  Listen in with a few of our AI experts, @[Jon Evans](urn:li:person:pxaDc4cPBs) and @[Anna DeGiulio](urn:li:person:qEdVtqOKPQ) as they explore how user-centric AI is putting people back in control.  See how AI can empower you to create, lead, and simplify! ‚¨áÔ∏è  https://hubs.ly/Q036F9Sz0  {hashtag|\#|AI} {hashtag|\#|Innovation} {hashtag|\#|GenAI} {hashtag|\#|TechTrends}</t>
  </si>
  <si>
    <t>https://www.linkedin.com/feed/update/urn:li:ugcPost:7297276672653807616</t>
  </si>
  <si>
    <t>urn:li:ugcPost:7297276672653807616</t>
  </si>
  <si>
    <t>Turns out, most people are ready to embrace new tech ‚Äì especially when training programs and support are on point. üíª‚ú®  4 out of 5 employees feel comfortable adopting new #tech but what about the other 20%? üëÄ  Our Business Technology Adoption Report explores how training, resources, and communication can turn hesitation into confidence. ‚¨áÔ∏è  https://info.impactmybiz.com/business-technology-adoption-report  #Innovation #BusinessTechnology #Technology #TechTrends  Discover a great career with Impact here: https://bit.ly/3HHzuro  Explore what Impact can do for you: https://bit.ly/3UG087v  Subscribe to our newsletter: https://bit.ly/3JR8PtJ  Follow Impact on social media!  LinkedIn: https://www.linkedin.com/company/impact-networking Facebook: https://www.facebook.com/impactmybiz Twitter: https://twitter.com/impactmybiz Instagram: https://www.instagram.com/impactmybiz/?hl=en</t>
  </si>
  <si>
    <t>https://www.youtube.com/shorts/rwLN-goX9NQ</t>
  </si>
  <si>
    <t>rwLN-goX9NQ</t>
  </si>
  <si>
    <t>Turns out, most people are ready to embrace new tech ‚Äì especially when training programs and support are on point. üíª‚ú®   We‚Äôve got the stats to back it up! üòé   Download the full breakdown at the link in our bio to see how training, resources, and communication can turn technology fear into technology confidence.</t>
  </si>
  <si>
    <t>https://www.instagram.com/reel/DGBUYsuvi1p/</t>
  </si>
  <si>
    <t>Being comfortable with adopting new technology is vital ‚Äì and the majority of employees are ready to embrace it! üôå  Almost 80% of workers feel at ease integrating new tools into their workflows, thanking training programs and confidence in tech‚Äôs ability to drive growth.  But what about the other 20%? üëÄ This group presents an opportunity for companies to improve resources, enhance support, and create an environment where everyone thrives with new technology.  Want to see how businesses are driving adoption and empowering their teams? Download our Business Technology Adoption Report for insights in how you can increase the comfort level of embracing technology! ‚¨áÔ∏è  https://hubs.ly/Q036w\_k50  {hashtag|\#|Innovation} {hashtag|\#|BusinessTechnology} {hashtag|\#|Technology} {hashtag|\#|TechTrends}</t>
  </si>
  <si>
    <t>https://www.linkedin.com/feed/update/urn:li:share:7295804147839246336</t>
  </si>
  <si>
    <t>urn:li:share:7295804147839246336</t>
  </si>
  <si>
    <t>There‚Äôs no worse feeling than realizing one of your accounts might be compromised. But did you know that if you use multi-factor authentication, you can increase the security of your accounts a ton?    Follow these tips to see the strongest types of MFA and how to use them.   Discover a great career with Impact here: https://bit.ly/3HHzuro  Explore what Impact can do for you: https://bit.ly/3UG087v  Subscribe to our newsletter: https://bit.ly/3JR8PtJ  Follow Impact on social media!  LinkedIn: https://www.linkedin.com/company/impact-networking Facebook: https://www.facebook.com/impactmybiz Twitter: https://twitter.com/impactmybiz Instagram: https://www.instagram.com/impactmybiz/?hl=en</t>
  </si>
  <si>
    <t>https://www.youtube.com/watch?v=2Zz2Kh1TwmY</t>
  </si>
  <si>
    <t>2Zz2Kh1TwmY</t>
  </si>
  <si>
    <t>We like to have fun around here! Especially when it comes to creating our organic #socialmedia content. ‚ú®ü§≥   Organic social media = authentic connections  By sharing that unpaid content, you‚Äôre able to establish a brand‚Äôs voice and engage with your community on a personal level.   Discover how to harness the power of organic strategies at the link in our bio! ‚§¥Ô∏è  #SocialMediaTips</t>
  </si>
  <si>
    <t>https://www.instagram.com/reel/DF8nYd6xrV7/</t>
  </si>
  <si>
    <t>With all the talk about paid ads, it‚Äôs easy to overlook the power of organic social media ‚Äì but brands that invest in it see long-term results that ads alone can‚Äôt achieve.  In today‚Äôs digital landscape, an effective organic social media strategy is crucial for establishing a brand‚Äôs voice and fostering meaningful customer relationships.  At the top of the funnel, organic strategies help with:  ‚ú® Brand awareness ‚ú® Thought leadership ‚ú® Community building  Want to learn how to refine your organic strategy? Check it out in our blog üëâ https://hubs.ly/Q035PcFV0  {hashtag|\#|SocialMediaTips} {hashtag|\#|MarketingIdeas} {hashtag|\#|Marketing} {hashtag|\#|ManagedMarketing}</t>
  </si>
  <si>
    <t>https://www.linkedin.com/feed/update/urn:li:ugcPost:7295124417708179456</t>
  </si>
  <si>
    <t>urn:li:ugcPost:7295124417708179456</t>
  </si>
  <si>
    <t>We like to have fun around here! Especially when it comes to creating our organic social media content. ‚ú®ü§≥  Organic social media = authentic connections  By sharing that unpaid content, you‚Äôre able to establish a brand‚Äôs voice and engage with your community on a personal level.  Discover how to harness the power of organic strategies at https://www.impactmybiz.com/blog/organic-vs-paid-social-media-strategies/  #SocialMediaTips #MarketingIdeas #Marketing #ManagedMarketing  Discover a great career with Impact here: https://bit.ly/3HHzuro  Explore what Impact can do for you: https://bit.ly/3UG087v  Subscribe to our newsletter: https://bit.ly/3JR8PtJ  Follow Impact on social media!  LinkedIn: https://www.linkedin.com/company/impact-networking Facebook: https://www.facebook.com/impactmybiz Twitter: https://twitter.com/impactmybiz Instagram: https://www.instagram.com/impactmybiz/?hl=en</t>
  </si>
  <si>
    <t>https://www.youtube.com/shorts/MTKRQAWjGmA</t>
  </si>
  <si>
    <t>MTKRQAWjGmA</t>
  </si>
  <si>
    <t>There‚Äôs no worse feeling than realizing one of your accounts might be compromised. ü´¢ But did you know that if you use multi-factor authentication, you can increase the security of your accounts a ton? üìà‚Å† ‚Å† Follow these tips to see the strongest types of #MFA and how to use them.‚Å† ‚Å† #CyberTips</t>
  </si>
  <si>
    <t>https://www.instagram.com/reel/DF56nC2MqAO/</t>
  </si>
  <si>
    <t>There‚Äôs no worse feeling than realizing one of your accounts might be compromised. üëÄ But did you know that if you use multi-factor authentication, you can increase the security of your accounts a ton!üìà  Follow the tips in our blog to see the strongest types of MFA and how to use them üëâ https://hubs.ly/Q035\_\_3W0  {hashtag|\#|MFA} {hashtag|\#|CyberTips} {hashtag|\#|Cybersecurity}</t>
  </si>
  <si>
    <t>https://www.linkedin.com/feed/update/urn:li:ugcPost:7294793272244244481</t>
  </si>
  <si>
    <t>urn:li:ugcPost:7294793272244244481</t>
  </si>
  <si>
    <t>There‚Äôs no worse feeling than realizing one of your accounts might be compromised. üëÄ But did you know that if you use multi-factor authentication, you can increase the security of your accounts a ton?  üìà  Follow the tips in our blog to see the strongest types of MFA and how to use them üëâ https://tinyurl.com/29v98wna  Discover a great career with Impact here: https://bit.ly/3HHzuro  Explore what Impact can do for you: https://bit.ly/3UG087v  Subscribe to our newsletter: https://bit.ly/3JR8PtJ  Follow Impact on social media!  LinkedIn: https://www.linkedin.com/company/impact-networking Facebook: https://www.facebook.com/impactmybiz Twitter: https://twitter.com/impactmybiz Instagram: https://www.instagram.com/impactmybiz/?hl=en</t>
  </si>
  <si>
    <t>https://www.youtube.com/shorts/7JjMF6W532A</t>
  </si>
  <si>
    <t>7JjMF6W532A</t>
  </si>
  <si>
    <t>To celebrate and honor #BlackHistoryMonth we‚Äôre highlighting our BIPOC Employee Resource Group (#ERG). ‚ù§Ô∏è‚ú® ‚Å† ‚Å† Hear from some of our members of our BIPOC ERG about their experiences at Impact and the importance of celebrating Black History Month.‚Å† ‚Å† Interested in learning more about our DEI practices? Head to the link in our bio to see how we celebrate #diversity.</t>
  </si>
  <si>
    <t>https://www.instagram.com/reel/DFvYhKCgK91/</t>
  </si>
  <si>
    <t>To celebrate and honor Black History Month we‚Äôre highlighting our BIPOC Employee Resource Group (ERG). ‚ù§Ô∏è‚ú®   At Impact, amplifying employee voices is a top priority. One of the ways we accomplish this is by establishing ERGs. These resource groups not only allow for a sense of belonging, but improve employee engagement, retention, and career development. üåü   Hear from some of our members of our BIPOC ERG about their experiences at Impact and the importance of celebrating Black History Month.  Interested in learning more about our DEI practices? Head to https://bit.ly/40Sunx0 to see how we celebrate diversity.    #DEI #BlackHistoryMonth #ERG #EmployeeEngagement #CareerDevelopment  Discover a great career with Impact here: https://bit.ly/3HHzuro  Explore what Impact can do for you: https://bit.ly/3UG087v  Subscribe to our newsletter: https://bit.ly/3JR8PtJ  Follow Impact on social media!  LinkedIn: https://www.linkedin.com/company/impact-networking Facebook: https://www.facebook.com/impactmybiz Twitter: https://twitter.com/impactmybiz Instagram: https://www.instagram.com/impactmybiz/?hl=en</t>
  </si>
  <si>
    <t>https://www.youtube.com/shorts/sksa2lDI_fc</t>
  </si>
  <si>
    <t>sksa2lDI_fc</t>
  </si>
  <si>
    <t>To celebrate and honor Black History Month we‚Äôre highlighting our BIPOC Employee Resource Group \(ERG\). ‚ù§Ô∏è‚ú®   At Impact, amplifying employee voices is a top priority. One of the ways we accomplish this is by establishing ERGs. These resource groups not only allow for a sense of belonging, but improve employee engagement, retention, and career development. üåü   Hear from some of our members of our BIPOC ERG about their experiences at Impact and the importance of celebrating Black History Month.  Interested in learning more about our DEI practices? Head to https://bit.ly/40LPe4P to see how we celebrate diversity.    {hashtag|\#|DEI} {hashtag|\#|BlackHistoryMonth} {hashtag|\#|ERG} {hashtag|\#|EmployeeEngagement} {hashtag|\#|CareerDevelopment}</t>
  </si>
  <si>
    <t>https://www.linkedin.com/feed/update/urn:li:ugcPost:7293297998946521090</t>
  </si>
  <si>
    <t>urn:li:ugcPost:7293297998946521090</t>
  </si>
  <si>
    <t>To celebrate and honor Black History Month we‚Äôre highlighting our BIPOC Employee Resource Group (ERG). ‚ù§Ô∏è‚ú®   At Impact, amplifying employee voices is a top priority. One of the ways we accomplish this is by establishing ERGs. These resource groups not only allow for a sense of belonging, but improve employee engagement, retention, and career development. üåü   Hear from some of our members of our BIPOC ERG about their experiences at Impact and the importance of celebrating Black History Month.  Interested in learning more about our DEI practices? Head to https://bit.ly/40Sunx0 to see how we celebrate diversity.    #DEI #BlackHistoryMonth #ERG #EmployeeEngagement #CareerDevelopment</t>
  </si>
  <si>
    <t>https://www.youtube.com/shorts/lIYCraURurk</t>
  </si>
  <si>
    <t>lIYCraURurk</t>
  </si>
  <si>
    <t>We're excited to announce that Impact is expanding into Cleveland, Ohio! üéâ  This is a huge milestone for our team as we continue to grow and bring our innovative solutions to even more companies across the country.  The Ohio branch was founded by @[Ken Vanden Haute](urn:li:person:IQdpi5lUMi), a superb technology and sales leader with over 30 years of experience. He'll be serving as President of Impact Ohio!  We'll offer IT, cybersecurity, digital transformation \(which includes AI strategy\), and managed marketing services to Cleveland and surrounding areas.   Check out more about our expansion at https://bit.ly/3CJWMgm  While you're at it, drop your Cleveland food recommendations below! ‚¨áÔ∏è  {hashtag|\#|ImpactOhio} {hashtag|\#|Innovation} {hashtag|\#|MakeAnImpact} {hashtag|\#|Growth} {hashtag|\#|Expansion}</t>
  </si>
  <si>
    <t>https://www.linkedin.com/feed/update/urn:li:share:7292919922458800128</t>
  </si>
  <si>
    <t>urn:li:share:7292919922458800128</t>
  </si>
  <si>
    <t>It was such a privilege to have @[Frank G. Cannata](urn:li:person:z-Cn44TmXq) join us at our annual ACM and 25th anniversary celebration in Puerto Vallarta, MX.   Frank's insights and support mean the world to us, and we're grateful for his continued support in the business technology industry.   {hashtag|\#|Innovation} {hashtag|\#|MakeAnImpact} {hashtag|\#|Growth}</t>
  </si>
  <si>
    <t>https://www.linkedin.com/feed/update/urn:li:share:7291231297815879680</t>
  </si>
  <si>
    <t>urn:li:share:7291231297815879680</t>
  </si>
  <si>
    <t>#Diversity and inclusion practices, commonly known as #DEI, are a set of values and practices that ensure everyone within a company is treated fairly with equal opportunities. ‚ù§Ô∏è ‚Å† ‚Å† At Impact, we celebrate not only our employees, but clients and community as well. We foster an environment where employees can come together to bring ideas to life. ‚ú® ‚Å† ‚Å† Head to the link in our bio to see benefits to creating an inclusive office. ‚Å† ‚Å† #DiversityAndInclusion</t>
  </si>
  <si>
    <t>https://www.instagram.com/p/DFn5lmRzvAu/</t>
  </si>
  <si>
    <t>We‚Äôre very proud to support organizations like @[Foothill Family](urn:li:organization:1312124)! If you or your company have been thinking of ways to help those affected by the recent California fires, we encourage to read more about Foothill Family's mission and how they can help below. üëá</t>
  </si>
  <si>
    <t>https://www.linkedin.com/feed/update/urn:li:share:7292267941297803267</t>
  </si>
  <si>
    <t>urn:li:share:7292267941297803267</t>
  </si>
  <si>
    <t xml:space="preserve">Diversity and inclusion practices, commonly known as DEI, are a set of values and practices that ensure everyone within a company is treated fairly with equal opportunities.   Upholding a DEI policy not only has a positive effect on employees, but clients and consumers, too. With a new, younger crowd over taking the buyer market, many of them choose to work for or buy from companies that align with their values. ü§ùüåü   At Impact, we celebrate not only our employees, but clients and community as well. We foster an environment where employees can come together to bring ideas to life. ‚ú®   Head to https://hubs.ly/Q034Yswz0 to see benefits to creating an inclusive office.   {hashtag|\#|DEI} {hashtag|\#|Diversity} {hashtag|\#|Inclusion} {hashtag|\#|EmployeeEngagement}  </t>
  </si>
  <si>
    <t>https://www.linkedin.com/feed/update/urn:li:ugcPost:7292217958989189121</t>
  </si>
  <si>
    <t>urn:li:ugcPost:7292217958989189121</t>
  </si>
  <si>
    <t>A major milestone for our partner @[DOT Security](urn:li:organization:67927620) happened on Tuesday‚Äîthey‚Äôve officially rolled out a new ERP system, with the help of @[HaloPSA](urn:li:organization:36120741) PSA and @[Microsoft Dynamics365](urn:li:organization:17940767), the first upgrade in over a decade. This isn‚Äôt just about replacing outdated tools; it‚Äôs about creating the foundation we need to scale, innovate, and continue growing toward our vision. The journey hasn‚Äôt been easy, but every challenge along the way has taught us valuable lessons. We‚Äôre ready for the next chapter!  {hashtag|\#|Future} {hashtag|\#|Innovation} {hashtag|\#|ERP}</t>
  </si>
  <si>
    <t>https://www.linkedin.com/feed/update/urn:li:share:7290780764013576192</t>
  </si>
  <si>
    <t>urn:li:share:7290780764013576192</t>
  </si>
  <si>
    <t>Starting this year, #CMMC 2.0 will be required for businesses working with the Department of Defense. Not complying could cost your business up to $1M per violation ‚Äì definitely not how you want to kick off 2025. üò¨   Whether you work with the DoD or just want to strengthen your security practices, CMMC compliance is your shield against #cyberthreats and costly risks.</t>
  </si>
  <si>
    <t>https://www.instagram.com/reel/DFdnmjTTvqt/</t>
  </si>
  <si>
    <t xml:space="preserve">Starting this year, {hashtag|\#|CMMC} 2.0 will be required for businesses working with the Department of Defense. Not complying could cost your business up to $1M per violation ‚Äì definitely not how you want to kick off 2025. üò¨   The updated Cybersecurity Maturity Model Certification \(CMMC 2.0\) makes compliance simpler by reducing levels from five to three and offering smaller businesses the option to self-assess. It‚Äôs easier, more accessible, and still ensures strong protection for sensitive defense data. üõ°Ô∏è‚ú®   Whether you work with the DoD or just want to strengthen your security practices, CMMC compliance is your shield against cyber threats and costly risks.   Head to https://hubs.ly/Q033-xNv0 to learn more about CMMC compliance.   {hashtag|\#|CMMC} {hashtag|\#|Cybersecurity} {hashtag|\#|CyberTips} </t>
  </si>
  <si>
    <t>https://www.linkedin.com/feed/update/urn:li:ugcPost:7290745176690507777</t>
  </si>
  <si>
    <t>urn:li:ugcPost:7290745176690507777</t>
  </si>
  <si>
    <t>Starting this year, CMMC 2.0 will be required for businesses working with the Department of Defense. Not complying could cost your business up to $1M per violation ‚Äì definitely not how you want to kick off 2025. üò¨   The updated Cybersecurity Maturity Model Certification (CMMC 2.0) makes compliance simpler by reducing levels from five to three and offering smaller businesses the option to self-assess. It‚Äôs easier, more accessible, and still ensures strong protection for sensitive defense data. üõ°Ô∏è‚ú®   Whether you work with the DoD or just want to strengthen your security practices, CMMC compliance is your shield against cyber threats and costly risks.   Head to our website to learn more about CMMC compliance.</t>
  </si>
  <si>
    <t>https://www.youtube.com/shorts/ekVuImdzETA</t>
  </si>
  <si>
    <t>ekVuImdzETA</t>
  </si>
  <si>
    <t>Earlier this month, we kicked off 2025 in beautiful Puerto Vallarta, MX! ‚òÄÔ∏èüåä‚Å† ‚Å† Take a look at some of the unforgettable moments from our All Company Meeting and Welcome Dinner! üåü From the West Coast to the Midwest, all our branches came together to celebrate our 2024 achievements and gear up for an exciting year ahead. üí™‚ú®‚Å† ‚Å† Employees! Drop your favorite memories below. üëá‚Å† ‚Å† #OneTeam #MakeAnImpact</t>
  </si>
  <si>
    <t>https://www.instagram.com/p/DFYajSOT91c/</t>
  </si>
  <si>
    <t>With a leadership transition marking a pivotal moment, our CTO, @[Frank DeGeorge](urn:li:person:a1uvJ3zRNj), highlights how our new CEO, @[Michael Lepper](urn:li:person:RoVGs-9yxW), and senior leadership team are stepping up to drive Impact forward.  üí™  During our All Company Meeting in Puerto Vallarta, MX, we launched refreshed company values, updated our mission, and set ambitious goals to align with our customer-centric approach and internal transformations.  From celebrating our team in Puerto Vallarta to unveiling bold new plans, we're kicking off 2025 with purpose. üéâ  {hashtag|\#|MakeAnImpact} {hashtag|\#|ImpactMyBiz} {hashtag|\#|Leadership} {hashtag|\#|ThoughtLeadership} {hashtag|\#|Innovation}</t>
  </si>
  <si>
    <t>https://www.linkedin.com/feed/update/urn:li:share:7288624947457900544</t>
  </si>
  <si>
    <t>urn:li:share:7288624947457900544</t>
  </si>
  <si>
    <t>Our Austin office is proud to support the @[Central Texas Public Safety Commission](urn:li:organization:104796503) and the @[Austin-Travis County EMS](urn:li:organization:2347244) in their effort to make a tough moment a little easier for kids.   With our donation, teddy bears will be stocked in Austin ambulances to provide comfort to children during emergencies.  Read more about this amazing initiative üëâ https://lnkd.in/gy3K5Tfm   {hashtag|\#|MakeAnImpact}</t>
  </si>
  <si>
    <t>https://www.linkedin.com/feed/update/urn:li:share:7290046340913369088</t>
  </si>
  <si>
    <t>urn:li:share:7290046340913369088</t>
  </si>
  <si>
    <t>üéâ Congrats to Carlos Rodr√≠guez, one of our Production Service Technicians out of California, for being highlighted in @[KONICA MINOLTA, INC.](urn:li:organization:3238278) newsletter as Tech of the Month!  His ability to promptly and effectively resolve issues in a single visit has greatly enhanced Impact's service efficiency.  Thank you to Konica for highlighting Carlos' incredible work and thank you Carlos for always making an Impact! ‚ú®  {hashtag|\#|MakeAnImpact} {hashtag|\#|CustomerService} {hashtag|\#|EmployeeAppreciation}</t>
  </si>
  <si>
    <t>https://www.linkedin.com/feed/update/urn:li:share:7289665984276152321</t>
  </si>
  <si>
    <t>urn:li:share:7289665984276152321</t>
  </si>
  <si>
    <t>Earlier this month, we kicked off 2025 in beautiful Puerto Vallarta, MX! ‚òÄÔ∏èüåä  Take a look at some of the unforgettable moments from our All Company Meeting and Welcome Dinner! üåü From the West Coast to the Midwest, all our branches came together to celebrate our 2024 achievements and gear up for an exciting year ahead. üí™‚ú®  Employees! Drop your favorite memories below. üëá  {hashtag|\#|OneTeam} {hashtag|\#|MakeAnImpact}</t>
  </si>
  <si>
    <t>https://www.linkedin.com/feed/update/urn:li:ugcPost:7288634232761987072</t>
  </si>
  <si>
    <t>urn:li:ugcPost:7288634232761987072</t>
  </si>
  <si>
    <t>Can one team really do it all? The short answer: no. ‚Å† ‚Å† üîß #IT keeps your business running smoothly. ‚Å† üõ°Ô∏è #Cybersecurity protects it from ever-evolving threats. ‚Å† ‚Å† When these roles are treated as one, vulnerabilities grow, responses slow, and risks increase. ‚Å† ‚Å† Separating IT and cybersecurity creates focus, accountability, and stronger results. ‚Å† ‚Å† What‚Äôs your take? Let us know below! ‚¨áÔ∏è</t>
  </si>
  <si>
    <t>https://www.instagram.com/p/DFLWnAkTbe4/</t>
  </si>
  <si>
    <t>Planes ‚úàÔ∏è, trains üöù, and automobiles üöó... but make it futuristic!   Public transit is evolving faster than ever! Whether it's for convenience, sustainability, or the thrill of trying something new, the future of mobility is here.  Looking to stay on top of the latest tech trends? Head to our channel and tap the subscribe button. You won't regret it. üòâ  #Waymo #SelfDrivingCars #Innovation #Sustainability  Discover a great career with Impact here: https://bit.ly/3HHzuro  Explore what Impact can do for you: https://bit.ly/3UG087v  Subscribe to our newsletter: https://bit.ly/3JR8PtJ  Follow Impact on social media!  LinkedIn: https://www.linkedin.com/company/impact-networking Facebook: https://www.facebook.com/impactmybiz Twitter: https://twitter.com/impactmybiz Instagram: https://www.instagram.com/impactmybiz/?hl=en</t>
  </si>
  <si>
    <t>https://www.youtube.com/shorts/6OeXtDjSsTM</t>
  </si>
  <si>
    <t>6OeXtDjSsTM</t>
  </si>
  <si>
    <t xml:space="preserve">Can one team really do it all? The short answer: no.    üîß IT keeps your business running smoothly.  üõ°Ô∏è Cybersecurity protects it from ever-evolving threats.   When these roles are treated as one, vulnerabilities grow, responses slow, and risks increase.  Separating IT and cybersecurity creates focus, accountability, and stronger results.   What‚Äôs your take? Let us know below! ‚¨áÔ∏è   While you‚Äôre at it, check out our webinar that breaks down the differences more in-depth üëâ https://hubs.ly/Q0332RKH0    {hashtag|\#|Cybersecurity} {hashtag|\#|IT} {hashtag|\#|CyberTips} {hashtag|\#|Tech} {hashtag|\#|Innovation} </t>
  </si>
  <si>
    <t>https://www.linkedin.com/feed/update/urn:li:ugcPost:7288216592583168000</t>
  </si>
  <si>
    <t>urn:li:ugcPost:7288216592583168000</t>
  </si>
  <si>
    <t>Adding additional monitors to your setup can skyrocket your productivity (or give you extra space to check Threads or watch movies), but setting it up can be complex and a lot can go wrong.   Setting up dual monitors doesn‚Äôt have to be complicated. Check out the full video on our channel for all the tips you need to get it done on both Mac and Windows!  #TechTips #Productivity</t>
  </si>
  <si>
    <t>https://www.youtube.com/shorts/8ijVhbifwmM</t>
  </si>
  <si>
    <t>8ijVhbifwmM</t>
  </si>
  <si>
    <t>Adding extra monitors can seriously boost your #productivity (or just give you space to stream your favorite shows üëÄ), but let‚Äôs be real‚Äîsetting it up can be a hassle. üôÉ‚Å† ‚Å† Learn how to set up dual monitors the right way for both #Mac and #Windows at the link in our bio! ‚§¥Ô∏è‚Å† ‚Å† #TechTips</t>
  </si>
  <si>
    <t>https://www.instagram.com/reel/DFJXro9NZcE/</t>
  </si>
  <si>
    <t>Adding additional monitors to your setup can skyrocket your productivity \(or give you extra space to check Threads or watch movies\), but setting it up can be complex and a lot can go wrong.   Setting up dual monitors doesn‚Äôt have to be complicated. Check out our YouTube video for all the tips you need to get it done on both Mac and Windows!  Watch the full video üëâ https://hubs.ly/Q033D\_lt0  {hashtag|\#|TechTips} {hashtag|\#|Productivity}</t>
  </si>
  <si>
    <t>https://www.linkedin.com/feed/update/urn:li:ugcPost:7287975276116918272</t>
  </si>
  <si>
    <t>urn:li:ugcPost:7287975276116918272</t>
  </si>
  <si>
    <t>Adding additional monitors to your setup can skyrocket your productivity (or give you extra space to check X or watch movies), but setting it up can be complex and a lot can go wrong. Avoid misaligned monitors, cable issues, software trouble, and other issues by watching this video to set up your dual monitors the right way on both Mac and Windows computers.   Key Moments:  [00:00] Intro [00:29] Identifying Display Ports  [02:35] Arranging Monitors &amp; Troubleshooting  [03:23] Arranging Monitors on Mac  [03:45] Arranging Monitors on PC   Discover a great career with Impact here: https://bit.ly/3HHzuro  Explore what Impact can do for you: https://bit.ly/3UG087v  Subscribe to our newsletter: https://bit.ly/3JR8PtJ  Follow Impact on social media!  LinkedIn: https://www.linkedin.com/company/impact-networking Facebook: https://www.facebook.com/impactmybiz Twitter: https://twitter.com/impactmybiz Instagram: https://www.instagram.com/impactmybiz/?hl=en</t>
  </si>
  <si>
    <t>https://www.youtube.com/watch?v=LZmfiL6ph30</t>
  </si>
  <si>
    <t>LZmfiL6ph30</t>
  </si>
  <si>
    <t>We‚Äôre honored to be featured in @[THE CANNATA REPORT](urn:li:organization:3267573), alongside @[DOT Security](urn:li:organization:67927620) and @[MPS Monitor](urn:li:organization:1338686), spotlighting our rise as key players in the Managed Services Provider \(MSP\) space. üöÄ   At Impact, we‚Äôre not just redefining managed services‚Äî we‚Äôre challenging the status quo. By aligning with forward-thinking organizations and investing in groundbreaking solutions, we‚Äôre committed to empowering businesses with the tools they need to thrive. üí™   Check out the full article at the link below to explore how partnerships like this are shaping the future of secure, managed solutions. ‚¨áÔ∏è   https://lnkd.in/gcaRVQK7   {hashtag|\#|ManagedServiceProvider} {hashtag|\#|MSP} {hashtag|\#|Collaboration} {hashtag|\#|Cybersecurity} {hashtag|\#|Innovation}</t>
  </si>
  <si>
    <t>https://www.linkedin.com/feed/update/urn:li:share:7286157536733380609</t>
  </si>
  <si>
    <t>urn:li:share:7286157536733380609</t>
  </si>
  <si>
    <t>#Planes ‚úàÔ∏è, #trains üöù, and #automobiles üöó... but make it futuristic! ‚Å† ‚Å† Public transit is evolving faster than ever! Whether it's for convenience, #sustainability, or the thrill of trying something new, the future of mobility is here.‚Å† ‚Å† Looking to stay on top of the latest #techtrends? Head to our profile and tap the follow button. You won't regret it. üòâ</t>
  </si>
  <si>
    <t>https://www.instagram.com/reel/DE5U_gyuUH5/</t>
  </si>
  <si>
    <t>Over the past year, you may have noticed some posts from our incredible Thought Leaders here at Impact. This recognition from @[DSMN8 - The Employee Advocacy Platform](urn:li:organization:13241739) is a testament to the power of this strategy. üí°‚ú® ¬† Employee advocacy is one of the most effective ways to boost brand awareness, generate leads, drive conversions, and increase website sessions. It's an authentic approach that not only amplifies our brand but also celebrates the amazing people who make Impact such a great place to work. ¬† We‚Äôre proud to be ranked 24th in the USA and 40th globally for having some of the most active IT &amp; Service professionals on social media. A huge thank-you to our team‚Äîthis wouldn‚Äôt be possible without you! ‚ù§Ô∏è ¬† Check out the full report at https://lnkd.in/gUwJUYhQ  {hashtag|\#|EmployeeAdvocacy} {hashtag|\#|Teamwork} {hashtag|\#|EmployeeEngagement} {hashtag|\#|ThoughtLeadership}</t>
  </si>
  <si>
    <t>https://www.linkedin.com/feed/update/urn:li:share:7285707350114549760</t>
  </si>
  <si>
    <t>urn:li:share:7285707350114549760</t>
  </si>
  <si>
    <t>Planes ‚úàÔ∏è, trains üöù, and automobiles üöó... but make it futuristic!   Public transit is evolving faster than ever! Whether it's for convenience, sustainability, or the thrill of trying something new, the future of mobility is here.  Looking to stay on top of the latest tech trends? Head to our profile and tap the follow button. You won't regret it. üòâ  {hashtag|\#|TechTrends} {hashtag|\#|PublicTransit} {hashtag|\#|Waymo} {hashtag|\#|SelfDrivingCars} {hashtag|\#|Innovation} {hashtag|\#|Sustainability}</t>
  </si>
  <si>
    <t>https://www.linkedin.com/feed/update/urn:li:ugcPost:7285673433730891777</t>
  </si>
  <si>
    <t>urn:li:ugcPost:7285673433730891777</t>
  </si>
  <si>
    <t>Planes ‚úàÔ∏è, trains üöù, and automobiles üöó... but make it futuristic!   Public transit is evolving faster than ever! Whether it's for convenience, sustainability, or the thrill of trying something new, the future of mobility is here.  Looking to stay on top of the latest tech trends? Head to our channel and tap the subscribe button. You won't regret it. üòâ  #TechTrends #PublicTransit #Waymo #SelfDrivingCars #Innovation #Sustainability</t>
  </si>
  <si>
    <t>https://www.youtube.com/shorts/cHq8C2SOi6c</t>
  </si>
  <si>
    <t>cHq8C2SOi6c</t>
  </si>
  <si>
    <t>Looking for insights on how mid-market companies can thrive in the face of disruption? üöÄ  Check out @[Alec Mates](urn:li:person:0lqEfW6d0u), a Sales Manager at Impact, latest post where he dives into actionable strategies and key takeaways from recent research that discusses how midsize companies are in a unique strong position in today's market but they fail to act boldly. üëá</t>
  </si>
  <si>
    <t>https://www.linkedin.com/feed/update/urn:li:share:7285331842386272258</t>
  </si>
  <si>
    <t>urn:li:share:7285331842386272258</t>
  </si>
  <si>
    <t>Got 99 problems, but marketing ROI does not have to be one. üëÄ  Head to the link in our bio to check out how our Managed Marketing team can elevate your campaigns!</t>
  </si>
  <si>
    <t>https://www.instagram.com/reel/DE0ltb5zvqE/</t>
  </si>
  <si>
    <t xml:space="preserve">üéØ Analytics dashboard showing negative ROI? Time to rethink your marketing strategy!   Our Managed Marketing team goes beyond surface-level fixes. We focus on strategies that combine creative execution with data-driven insights, ensuring your marketing not only performs but evolves with your business' needs \(and increases ROI\). üòâ  The real question isn't "how's the campaign performing?" - it's "How can we make it perform better?"  Explore how Impact can transform your marketing strategy at https://hubs.ly/Q032tKbF0  {hashtag|\#|ManagedMarketing} {hashtag|\#|MarketingTips} {hashtag|\#|MarketingStrategy} </t>
  </si>
  <si>
    <t>https://www.linkedin.com/feed/update/urn:li:ugcPost:7284964676549926913</t>
  </si>
  <si>
    <t>urn:li:ugcPost:7284964676549926913</t>
  </si>
  <si>
    <t>üéØ Analytics dashboard showing negative ROI? Time to rethink your marketing strategy!   Our Managed Marketing team puts you in the spotlight, making sure you get the results that matter - like driving leads, increasing conversions, and increasing ROI. üòâ  Explore how Impact can transform your campaigns at https://hubs.ly/Q032pt0c0  #ManagedMarketing #MarketingTips #MarketingStrategy</t>
  </si>
  <si>
    <t>https://www.youtube.com/shorts/ryQNzoGE44s</t>
  </si>
  <si>
    <t>ryQNzoGE44s</t>
  </si>
  <si>
    <t>See how Ava balances creativity and strategy as she manages social media at Impact‚Äôs Chicago office. üèôÔ∏è‚ú®¬†¬†  Get a firsthand look at the mix of creativity and data-driven decisions that shape our digital presence.¬†  From planning to execution, take a look at her daily routine.¬†  Interested in joining the team? Head to the link our bio!¬†  #DayInTheLife #WorkLife #OfficeTrends #SocialMedia</t>
  </si>
  <si>
    <t>https://www.instagram.com/reel/DEnfglWvv7_/</t>
  </si>
  <si>
    <t>See how Ava balances creativity and strategy as she manages social media at Impact‚Äôs Chicago office. üèôÔ∏è‚ú®    Get a firsthand look at the mix of creativity and data-driven decisions that shape our digital presence.   From planning to execution, take a look at her daily routine.   Interested in joining the team? Head to https://hubs.ly/Q030g\_5Q0 and submit your application!   {hashtag|\#|DayInTheLife} {hashtag|\#|WorkLife} {hashtag|\#|OfficeTrends} {hashtag|\#|SocialMedia}</t>
  </si>
  <si>
    <t>https://www.linkedin.com/feed/update/urn:li:ugcPost:7283158875023810560</t>
  </si>
  <si>
    <t>urn:li:ugcPost:7283158875023810560</t>
  </si>
  <si>
    <t>See how Ava balances creativity and strategy as she manages social media at Impact‚Äôs Chicago office. üèôÔ∏è‚ú®    Get a firsthand look at the mix of creativity and data-driven decisions that shape our digital presence.   From planning to execution, take a look at her daily routine.   Interested in joining the team? Head to https://hubs.ly/Q030hcdR0 and submit your application!   #DayInTheLife #WorkLife #OfficeTrends #SocialMedia</t>
  </si>
  <si>
    <t>https://www.youtube.com/shorts/0So3KuDcQM0</t>
  </si>
  <si>
    <t>0So3KuDcQM0</t>
  </si>
  <si>
    <t>‚ÄºÔ∏èOUR BUSINESS TECHNOLOGY ADOPTION REPORT IS LIVE‚ÄºÔ∏è ‚Å† ‚Å† From overcoming compatibility struggles to seeing which departments led the charge in #tech adoption, this report dives into how businesses use tech to grow, adapt, and thrive. ‚Å† ‚Å† Spoiler: Modern tech is the key to long-term success. üèÜ ‚Å† ‚Å† Download your copy now at the link in our bio! ‚Å† ‚Å† #2025Trends #Innovation</t>
  </si>
  <si>
    <t>https://www.instagram.com/p/DEkumWyTk3t/</t>
  </si>
  <si>
    <t xml:space="preserve">‚ÄºÔ∏èOUR BUSINESS TECHNOLOGY ADOPTION REPORT IS LIVE‚ÄºÔ∏è   From overcoming compatibility struggles to seeing which departments led the charge in tech adoption, this report dives into how businesses are using tech to grow, adapt, and thrive.   Spoiler: Tech isn‚Äôt a ‚Äúnice-to-have‚Äù anymore‚Äîit‚Äôs the key to long-term success. üèÜ   Download your copy now at https://hubs.ly/Q030fWD40  {hashtag|\#|Technology} {hashtag|\#|Innovation} {hashtag|\#|2024Report} {hashtag|\#|2025Trends} {hashtag|\#|BusinessTrends} </t>
  </si>
  <si>
    <t>https://www.linkedin.com/feed/update/urn:li:share:7282788377282691072</t>
  </si>
  <si>
    <t>urn:li:share:7282788377282691072</t>
  </si>
  <si>
    <t>Greetings from The Windy City! üèôÔ∏èüå¨Ô∏è¬†  At Impact, great careers come with even better views! Our #Chicago office is more than a workplace ‚Äì it‚Äôs a space to grow, connect, and soak up the energy of downtown.¬†  It‚Äôs giving‚Ä¶ main character energy. üíÖ¬†  Ready to take your #career to new heights this year? üöÄ Head to the link in our bio and submit your application!¬†  #LifeAtImpact</t>
  </si>
  <si>
    <t>https://www.instagram.com/reel/DEff38ORie4/</t>
  </si>
  <si>
    <t>Greetings from The Windy City! üèôÔ∏èüå¨Ô∏è   At Impact, great careers come with even better views! Our Chicago office is more than a workplace ‚Äì it‚Äôs a space to grow, connect, and soak up the energy of downtown.   Ready to take your career to new heights this year? üöÄ Head to https://hubs.ly/Q030kMgb0 and submit your application!  {hashtag|\#|ChicagoCareers} {hashtag|\#|WeAreHiring} {hashtag|\#|LifeAtImpact} {hashtag|\#|ChicagoJobs}</t>
  </si>
  <si>
    <t>https://www.linkedin.com/feed/update/urn:li:ugcPost:7282071453053648898</t>
  </si>
  <si>
    <t>urn:li:ugcPost:7282071453053648898</t>
  </si>
  <si>
    <t>Greetings from The Windy City! üèôÔ∏èüå¨Ô∏è   At Impact, great careers come with even better views! Our Chicago office is more than a workplace ‚Äì it‚Äôs a space to grow, connect, and soak up the energy of downtown.   Ready to take your career to new heights this year? üöÄ Head to https://hubs.ly/Q030l37K0 and submit your application!  #ChicagoCareers #WeAreHiring #LifeAtImpact #ChicagoJobs</t>
  </si>
  <si>
    <t>https://www.youtube.com/shorts/mPTnVUEFJyE</t>
  </si>
  <si>
    <t>mPTnVUEFJyE</t>
  </si>
  <si>
    <t>From 8 websites to 1 seamless solution. üåê‚Å† ‚Å† @33realty_chicago, a leader in Chicago‚Äôs real estate industry, faced the challenge of managing multiple sites for their business. Impact #ManagedMarketing stepped in to simplify their digital presence‚Äîstreamlining 8 sites into 1 centralized hub. ‚ú®üíª‚Å† ‚Å† But that‚Äôs not all! With our Managed #Marketing team, we‚Äôve helped elevate their brand and optimize their #leadgeneration process, making it easier for clients to connect with 33 Realty as a one-stop resource for all their real estate needs.‚Å† ‚Å† Curious how our Managed Marketing team can help your business thrive? Learn more at the link in our bio! ‚§¥</t>
  </si>
  <si>
    <t>https://www.instagram.com/reel/DEVR7nMNnar/</t>
  </si>
  <si>
    <t>33 Reality struggled to manage marketing internally, leading them to partner with Impact for branding and digital marketing. After being acquired by a larger company, 33 Reality and Impact teamed up to rebrand and streamline processes, enabling growth, improving audience understanding, and providing new opportunities for their marketing team.   Discover a great career with Impact here: https://bit.ly/3HHzuro  Explore what Impact can do for you: https://bit.ly/3UG087v  Subscribe to our newsletter: https://bit.ly/3JR8PtJ  Follow Impact on social media!  LinkedIn: https://www.linkedin.com/company/impact-networking Facebook: https://www.facebook.com/impactmybiz Twitter: https://twitter.com/impactmybiz Instagram: https://www.instagram.com/impactmybiz/?hl=en</t>
  </si>
  <si>
    <t>https://www.youtube.com/watch?v=_mXXaE6hXbc</t>
  </si>
  <si>
    <t>_mXXaE6hXbc</t>
  </si>
  <si>
    <t xml:space="preserve">From 8 websites to 1 seamless solution. üåê‚Å† ‚Å† @[33 Realty](urn:li:organization:826793), a leader in Chicago‚Äôs real estate industry, faced the challenge of managing multiple sites for their business. Impact Managed Marketing stepped in to simplify their digital presence‚Äîstreamlining 8 sites into 1 centralized hub. ‚ú®üíª‚Å† ‚Å† But that‚Äôs not all! With our Managed Marketing team, we‚Äôve helped elevate their brand and optimize their lead generation process, making it easier for clients to connect with 33 Realty as a one-stop resource for all their real estate needs.‚Å† ‚Å† Curious how our Managed Marketing team can help your business thrive? Learn more at https://hubs.ly/Q030fXLK0  {hashtag|\#|ManagedMarketing} {hashtag|\#|MarketingServices} {hashtag|\#|Marketing} {hashtag|\#|ManagedServices} </t>
  </si>
  <si>
    <t>https://www.linkedin.com/feed/update/urn:li:ugcPost:7280606905872343040</t>
  </si>
  <si>
    <t>urn:li:ugcPost:7280606905872343040</t>
  </si>
  <si>
    <t>From 8 websites to 1 seamless solution. üåê‚Å† ‚Å† 33 Realty, a leader in Chicago‚Äôs real estate industry, faced the challenge of managing multiple sites for their business. Impact Managed Marketing stepped in to simplify their digital presence‚Äîstreamlining 8 sites into 1 centralized hub. ‚ú®üíª‚Å† ‚Å† But that‚Äôs not all! With our Managed Marketing team, we‚Äôve helped elevate their brand and optimize their lead generation process, making it easier for clients to connect with 33 Realty as a one-stop resource for all their real estate needs.‚Å† ‚Å† Curious how our Managed Marketing team can help your business thrive? Learn more at https://hubs.ly/Q030gwSj0  #ManagedMarketing #MarketingServices #Marketing #ManagedServices</t>
  </si>
  <si>
    <t>https://www.youtube.com/shorts/41Um5rYQV1w</t>
  </si>
  <si>
    <t>41Um5rYQV1w</t>
  </si>
  <si>
    <t>INSTAGRAM TOTALS</t>
  </si>
  <si>
    <t>LINKEDIN TOTALS</t>
  </si>
  <si>
    <t>YOUTUBE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</si>
</sst>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31889-50C5-5944-BFE5-2BAA3593B2E1}">
  <dimension ref="A1:Q108"/>
  <sheetViews>
    <sheetView tabSelected="1" workbookViewId="0">
      <selection activeCell="Q29" sqref="Q29"/>
    </sheetView>
  </sheetViews>
  <sheetFormatPr baseColWidth="10" defaultRowHeight="16" x14ac:dyDescent="0.2"/>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32</v>
      </c>
      <c r="B2" t="s">
        <v>33</v>
      </c>
      <c r="C2" s="1">
        <v>45743.417453703703</v>
      </c>
      <c r="D2" t="s">
        <v>17</v>
      </c>
      <c r="E2" t="s">
        <v>18</v>
      </c>
      <c r="F2" t="s">
        <v>20</v>
      </c>
      <c r="G2" t="s">
        <v>20</v>
      </c>
      <c r="H2" t="s">
        <v>20</v>
      </c>
      <c r="I2" t="s">
        <v>34</v>
      </c>
      <c r="J2" t="s">
        <v>35</v>
      </c>
      <c r="K2">
        <v>1.78729536603168E+16</v>
      </c>
      <c r="L2">
        <v>508</v>
      </c>
      <c r="M2">
        <v>8</v>
      </c>
      <c r="N2">
        <v>220</v>
      </c>
      <c r="O2" t="s">
        <v>19</v>
      </c>
      <c r="P2">
        <v>3.64</v>
      </c>
      <c r="Q2">
        <v>0</v>
      </c>
    </row>
    <row r="3" spans="1:17" x14ac:dyDescent="0.2">
      <c r="A3" t="s">
        <v>32</v>
      </c>
      <c r="B3" t="s">
        <v>33</v>
      </c>
      <c r="C3" s="1">
        <v>45742.295138888891</v>
      </c>
      <c r="D3" t="s">
        <v>52</v>
      </c>
      <c r="E3" t="s">
        <v>52</v>
      </c>
      <c r="F3" t="s">
        <v>20</v>
      </c>
      <c r="G3" t="s">
        <v>20</v>
      </c>
      <c r="H3" t="s">
        <v>20</v>
      </c>
      <c r="I3" t="s">
        <v>53</v>
      </c>
      <c r="J3" t="s">
        <v>54</v>
      </c>
      <c r="K3">
        <v>1.81392063073867E+16</v>
      </c>
      <c r="L3">
        <v>1516</v>
      </c>
      <c r="M3">
        <v>36</v>
      </c>
      <c r="N3">
        <v>829</v>
      </c>
      <c r="O3" t="s">
        <v>19</v>
      </c>
      <c r="P3">
        <v>4.34</v>
      </c>
      <c r="Q3">
        <v>2</v>
      </c>
    </row>
    <row r="4" spans="1:17" x14ac:dyDescent="0.2">
      <c r="A4" t="s">
        <v>32</v>
      </c>
      <c r="B4" t="s">
        <v>33</v>
      </c>
      <c r="C4" s="1">
        <v>45740.496712962966</v>
      </c>
      <c r="D4" t="s">
        <v>17</v>
      </c>
      <c r="E4" t="s">
        <v>18</v>
      </c>
      <c r="F4" t="s">
        <v>20</v>
      </c>
      <c r="G4" t="s">
        <v>20</v>
      </c>
      <c r="H4" t="s">
        <v>20</v>
      </c>
      <c r="I4" t="s">
        <v>58</v>
      </c>
      <c r="J4" t="s">
        <v>59</v>
      </c>
      <c r="K4">
        <v>1.80749423568093E+16</v>
      </c>
      <c r="L4">
        <v>595</v>
      </c>
      <c r="M4">
        <v>8</v>
      </c>
      <c r="N4">
        <v>278</v>
      </c>
      <c r="O4" t="s">
        <v>19</v>
      </c>
      <c r="P4">
        <v>2.88</v>
      </c>
      <c r="Q4">
        <v>1</v>
      </c>
    </row>
    <row r="5" spans="1:17" x14ac:dyDescent="0.2">
      <c r="A5" t="s">
        <v>32</v>
      </c>
      <c r="B5" t="s">
        <v>33</v>
      </c>
      <c r="C5" s="1">
        <v>45736.415439814817</v>
      </c>
      <c r="D5" t="s">
        <v>52</v>
      </c>
      <c r="E5" t="s">
        <v>52</v>
      </c>
      <c r="F5" t="s">
        <v>20</v>
      </c>
      <c r="G5" t="s">
        <v>20</v>
      </c>
      <c r="H5" t="s">
        <v>20</v>
      </c>
      <c r="I5" t="s">
        <v>73</v>
      </c>
      <c r="J5" t="s">
        <v>74</v>
      </c>
      <c r="K5">
        <v>1.80549601881514E+16</v>
      </c>
      <c r="L5">
        <v>715</v>
      </c>
      <c r="M5">
        <v>21</v>
      </c>
      <c r="N5">
        <v>475</v>
      </c>
      <c r="O5" t="s">
        <v>19</v>
      </c>
      <c r="P5">
        <v>4.42</v>
      </c>
      <c r="Q5">
        <v>2</v>
      </c>
    </row>
    <row r="6" spans="1:17" x14ac:dyDescent="0.2">
      <c r="A6" t="s">
        <v>32</v>
      </c>
      <c r="B6" t="s">
        <v>33</v>
      </c>
      <c r="C6" s="1">
        <v>45734.50372685185</v>
      </c>
      <c r="D6" t="s">
        <v>78</v>
      </c>
      <c r="E6" t="s">
        <v>18</v>
      </c>
      <c r="F6" t="s">
        <v>20</v>
      </c>
      <c r="G6" t="s">
        <v>20</v>
      </c>
      <c r="H6" t="s">
        <v>20</v>
      </c>
      <c r="I6" t="s">
        <v>79</v>
      </c>
      <c r="J6" t="s">
        <v>80</v>
      </c>
      <c r="K6">
        <v>1.82727145362713E+16</v>
      </c>
      <c r="L6">
        <v>1505</v>
      </c>
      <c r="M6">
        <v>76</v>
      </c>
      <c r="N6">
        <v>706</v>
      </c>
      <c r="O6" t="s">
        <v>19</v>
      </c>
      <c r="P6">
        <v>10.76</v>
      </c>
      <c r="Q6">
        <v>8</v>
      </c>
    </row>
    <row r="7" spans="1:17" x14ac:dyDescent="0.2">
      <c r="A7" t="s">
        <v>32</v>
      </c>
      <c r="B7" t="s">
        <v>33</v>
      </c>
      <c r="C7" s="1">
        <v>45733.501643518517</v>
      </c>
      <c r="D7" t="s">
        <v>78</v>
      </c>
      <c r="E7" t="s">
        <v>18</v>
      </c>
      <c r="F7" t="s">
        <v>20</v>
      </c>
      <c r="G7" t="s">
        <v>20</v>
      </c>
      <c r="H7" t="s">
        <v>20</v>
      </c>
      <c r="I7" t="s">
        <v>84</v>
      </c>
      <c r="J7" t="s">
        <v>85</v>
      </c>
      <c r="K7">
        <v>1.82741951112651E+16</v>
      </c>
      <c r="L7">
        <v>582</v>
      </c>
      <c r="M7">
        <v>15</v>
      </c>
      <c r="N7">
        <v>246</v>
      </c>
      <c r="O7" t="s">
        <v>19</v>
      </c>
      <c r="P7">
        <v>6.1</v>
      </c>
      <c r="Q7">
        <v>0</v>
      </c>
    </row>
    <row r="8" spans="1:17" x14ac:dyDescent="0.2">
      <c r="A8" t="s">
        <v>32</v>
      </c>
      <c r="B8" t="s">
        <v>33</v>
      </c>
      <c r="C8" s="1">
        <v>45729.415416666663</v>
      </c>
      <c r="D8" t="s">
        <v>52</v>
      </c>
      <c r="E8" t="s">
        <v>52</v>
      </c>
      <c r="F8" t="s">
        <v>20</v>
      </c>
      <c r="G8" t="s">
        <v>20</v>
      </c>
      <c r="H8" t="s">
        <v>20</v>
      </c>
      <c r="I8" t="s">
        <v>89</v>
      </c>
      <c r="J8" t="s">
        <v>90</v>
      </c>
      <c r="K8">
        <v>1.80566229174753E+16</v>
      </c>
      <c r="L8">
        <v>591</v>
      </c>
      <c r="M8">
        <v>12</v>
      </c>
      <c r="N8">
        <v>408</v>
      </c>
      <c r="O8" t="s">
        <v>19</v>
      </c>
      <c r="P8">
        <v>2.94</v>
      </c>
      <c r="Q8">
        <v>0</v>
      </c>
    </row>
    <row r="9" spans="1:17" x14ac:dyDescent="0.2">
      <c r="A9" t="s">
        <v>32</v>
      </c>
      <c r="B9" t="s">
        <v>33</v>
      </c>
      <c r="C9" s="1">
        <v>45727.500694444447</v>
      </c>
      <c r="D9" t="s">
        <v>78</v>
      </c>
      <c r="E9" t="s">
        <v>18</v>
      </c>
      <c r="F9" t="s">
        <v>20</v>
      </c>
      <c r="G9" t="s">
        <v>20</v>
      </c>
      <c r="H9" t="s">
        <v>20</v>
      </c>
      <c r="I9" t="s">
        <v>109</v>
      </c>
      <c r="J9" t="s">
        <v>110</v>
      </c>
      <c r="K9">
        <v>1.79495220598098E+16</v>
      </c>
      <c r="L9">
        <v>669</v>
      </c>
      <c r="M9">
        <v>10</v>
      </c>
      <c r="N9">
        <v>313</v>
      </c>
      <c r="O9" t="s">
        <v>19</v>
      </c>
      <c r="P9">
        <v>3.19</v>
      </c>
      <c r="Q9">
        <v>0</v>
      </c>
    </row>
    <row r="10" spans="1:17" x14ac:dyDescent="0.2">
      <c r="A10" t="s">
        <v>32</v>
      </c>
      <c r="B10" t="s">
        <v>33</v>
      </c>
      <c r="C10" s="1">
        <v>45722.419004629628</v>
      </c>
      <c r="D10" t="s">
        <v>52</v>
      </c>
      <c r="E10" t="s">
        <v>52</v>
      </c>
      <c r="F10" t="s">
        <v>20</v>
      </c>
      <c r="G10" t="s">
        <v>20</v>
      </c>
      <c r="H10" t="s">
        <v>20</v>
      </c>
      <c r="I10" t="s">
        <v>114</v>
      </c>
      <c r="J10" t="s">
        <v>115</v>
      </c>
      <c r="K10">
        <v>1.80580198460032E+16</v>
      </c>
      <c r="L10">
        <v>516</v>
      </c>
      <c r="M10">
        <v>9</v>
      </c>
      <c r="N10">
        <v>377</v>
      </c>
      <c r="O10" t="s">
        <v>19</v>
      </c>
      <c r="P10">
        <v>2.39</v>
      </c>
      <c r="Q10">
        <v>0</v>
      </c>
    </row>
    <row r="11" spans="1:17" x14ac:dyDescent="0.2">
      <c r="A11" t="s">
        <v>32</v>
      </c>
      <c r="B11" t="s">
        <v>33</v>
      </c>
      <c r="C11" s="1">
        <v>45721.41909722222</v>
      </c>
      <c r="D11" t="s">
        <v>52</v>
      </c>
      <c r="E11" t="s">
        <v>52</v>
      </c>
      <c r="F11" t="s">
        <v>20</v>
      </c>
      <c r="G11" t="s">
        <v>20</v>
      </c>
      <c r="H11" t="s">
        <v>20</v>
      </c>
      <c r="I11" t="s">
        <v>122</v>
      </c>
      <c r="J11" t="s">
        <v>123</v>
      </c>
      <c r="K11">
        <v>1.80817635826276E+16</v>
      </c>
      <c r="L11">
        <v>1331</v>
      </c>
      <c r="M11">
        <v>30</v>
      </c>
      <c r="N11">
        <v>1044</v>
      </c>
      <c r="O11" t="s">
        <v>19</v>
      </c>
      <c r="P11">
        <v>2.87</v>
      </c>
      <c r="Q11">
        <v>4</v>
      </c>
    </row>
    <row r="12" spans="1:17" x14ac:dyDescent="0.2">
      <c r="A12" t="s">
        <v>32</v>
      </c>
      <c r="B12" t="s">
        <v>33</v>
      </c>
      <c r="C12" s="1">
        <v>45714.420300925929</v>
      </c>
      <c r="D12" t="s">
        <v>78</v>
      </c>
      <c r="E12" t="s">
        <v>18</v>
      </c>
      <c r="F12" t="s">
        <v>20</v>
      </c>
      <c r="G12" t="s">
        <v>20</v>
      </c>
      <c r="H12" t="s">
        <v>20</v>
      </c>
      <c r="I12" t="s">
        <v>139</v>
      </c>
      <c r="J12" t="s">
        <v>140</v>
      </c>
      <c r="K12">
        <v>1.80962230635198E+16</v>
      </c>
      <c r="L12">
        <v>624</v>
      </c>
      <c r="M12">
        <v>11</v>
      </c>
      <c r="N12">
        <v>230</v>
      </c>
      <c r="O12" t="s">
        <v>19</v>
      </c>
      <c r="P12">
        <v>4.78</v>
      </c>
      <c r="Q12">
        <v>0</v>
      </c>
    </row>
    <row r="13" spans="1:17" x14ac:dyDescent="0.2">
      <c r="A13" t="s">
        <v>32</v>
      </c>
      <c r="B13" t="s">
        <v>33</v>
      </c>
      <c r="C13" s="1">
        <v>45708.419085648151</v>
      </c>
      <c r="D13" t="s">
        <v>52</v>
      </c>
      <c r="E13" t="s">
        <v>52</v>
      </c>
      <c r="F13" t="s">
        <v>20</v>
      </c>
      <c r="G13" t="s">
        <v>20</v>
      </c>
      <c r="H13" t="s">
        <v>20</v>
      </c>
      <c r="I13" t="s">
        <v>147</v>
      </c>
      <c r="J13" t="s">
        <v>148</v>
      </c>
      <c r="K13">
        <v>1.83130416372078E+16</v>
      </c>
      <c r="L13">
        <v>582</v>
      </c>
      <c r="M13">
        <v>12</v>
      </c>
      <c r="N13">
        <v>446</v>
      </c>
      <c r="O13" t="s">
        <v>19</v>
      </c>
      <c r="P13">
        <v>2.69</v>
      </c>
      <c r="Q13">
        <v>1</v>
      </c>
    </row>
    <row r="14" spans="1:17" x14ac:dyDescent="0.2">
      <c r="A14" t="s">
        <v>32</v>
      </c>
      <c r="B14" t="s">
        <v>33</v>
      </c>
      <c r="C14" s="1">
        <v>45701.375</v>
      </c>
      <c r="D14" t="s">
        <v>52</v>
      </c>
      <c r="E14" t="s">
        <v>52</v>
      </c>
      <c r="F14" t="s">
        <v>20</v>
      </c>
      <c r="G14" t="s">
        <v>20</v>
      </c>
      <c r="H14" t="s">
        <v>20</v>
      </c>
      <c r="I14" t="s">
        <v>167</v>
      </c>
      <c r="J14" t="s">
        <v>168</v>
      </c>
      <c r="K14">
        <v>1.8021489038415E+16</v>
      </c>
      <c r="L14">
        <v>913</v>
      </c>
      <c r="M14">
        <v>35</v>
      </c>
      <c r="N14">
        <v>563</v>
      </c>
      <c r="O14" t="s">
        <v>19</v>
      </c>
      <c r="P14">
        <v>6.22</v>
      </c>
      <c r="Q14">
        <v>8</v>
      </c>
    </row>
    <row r="15" spans="1:17" x14ac:dyDescent="0.2">
      <c r="A15" t="s">
        <v>32</v>
      </c>
      <c r="B15" t="s">
        <v>33</v>
      </c>
      <c r="C15" s="1">
        <v>45699.548611111109</v>
      </c>
      <c r="D15" t="s">
        <v>52</v>
      </c>
      <c r="E15" t="s">
        <v>52</v>
      </c>
      <c r="F15" t="s">
        <v>20</v>
      </c>
      <c r="G15" t="s">
        <v>20</v>
      </c>
      <c r="H15" t="s">
        <v>20</v>
      </c>
      <c r="I15" t="s">
        <v>175</v>
      </c>
      <c r="J15" t="s">
        <v>176</v>
      </c>
      <c r="K15">
        <v>1.80298067483123E+16</v>
      </c>
      <c r="L15">
        <v>3659</v>
      </c>
      <c r="M15">
        <v>80</v>
      </c>
      <c r="N15">
        <v>2138</v>
      </c>
      <c r="O15" t="s">
        <v>19</v>
      </c>
      <c r="P15">
        <v>3.74</v>
      </c>
      <c r="Q15">
        <v>17</v>
      </c>
    </row>
    <row r="16" spans="1:17" x14ac:dyDescent="0.2">
      <c r="A16" t="s">
        <v>32</v>
      </c>
      <c r="B16" t="s">
        <v>33</v>
      </c>
      <c r="C16" s="1">
        <v>45698.502523148149</v>
      </c>
      <c r="D16" t="s">
        <v>52</v>
      </c>
      <c r="E16" t="s">
        <v>52</v>
      </c>
      <c r="F16" t="s">
        <v>20</v>
      </c>
      <c r="G16" t="s">
        <v>20</v>
      </c>
      <c r="H16" t="s">
        <v>20</v>
      </c>
      <c r="I16" t="s">
        <v>183</v>
      </c>
      <c r="J16" t="s">
        <v>184</v>
      </c>
      <c r="K16">
        <v>1.80581895500555E+16</v>
      </c>
      <c r="L16">
        <v>441</v>
      </c>
      <c r="M16">
        <v>12</v>
      </c>
      <c r="N16">
        <v>317</v>
      </c>
      <c r="O16" t="s">
        <v>19</v>
      </c>
      <c r="P16">
        <v>3.79</v>
      </c>
      <c r="Q16">
        <v>0</v>
      </c>
    </row>
    <row r="17" spans="1:17" x14ac:dyDescent="0.2">
      <c r="A17" t="s">
        <v>32</v>
      </c>
      <c r="B17" t="s">
        <v>33</v>
      </c>
      <c r="C17" s="1">
        <v>45694.411979166667</v>
      </c>
      <c r="D17" t="s">
        <v>52</v>
      </c>
      <c r="E17" t="s">
        <v>52</v>
      </c>
      <c r="F17" t="s">
        <v>20</v>
      </c>
      <c r="G17" t="s">
        <v>20</v>
      </c>
      <c r="H17" t="s">
        <v>20</v>
      </c>
      <c r="I17" t="s">
        <v>191</v>
      </c>
      <c r="J17" t="s">
        <v>192</v>
      </c>
      <c r="K17">
        <v>1.78943576371193E+16</v>
      </c>
      <c r="L17">
        <v>601</v>
      </c>
      <c r="M17">
        <v>14</v>
      </c>
      <c r="N17">
        <v>428</v>
      </c>
      <c r="O17" t="s">
        <v>19</v>
      </c>
      <c r="P17">
        <v>3.27</v>
      </c>
      <c r="Q17">
        <v>1</v>
      </c>
    </row>
    <row r="18" spans="1:17" x14ac:dyDescent="0.2">
      <c r="A18" t="s">
        <v>32</v>
      </c>
      <c r="B18" t="s">
        <v>33</v>
      </c>
      <c r="C18" s="1">
        <v>45691.503668981481</v>
      </c>
      <c r="D18" t="s">
        <v>78</v>
      </c>
      <c r="E18" t="s">
        <v>18</v>
      </c>
      <c r="F18" t="s">
        <v>20</v>
      </c>
      <c r="G18" t="s">
        <v>20</v>
      </c>
      <c r="H18" t="s">
        <v>20</v>
      </c>
      <c r="I18" t="s">
        <v>208</v>
      </c>
      <c r="J18" t="s">
        <v>209</v>
      </c>
      <c r="K18">
        <v>1.79108068590824E+16</v>
      </c>
      <c r="L18">
        <v>826</v>
      </c>
      <c r="M18">
        <v>11</v>
      </c>
      <c r="N18">
        <v>448</v>
      </c>
      <c r="O18" t="s">
        <v>19</v>
      </c>
      <c r="P18">
        <v>2.46</v>
      </c>
      <c r="Q18">
        <v>1</v>
      </c>
    </row>
    <row r="19" spans="1:17" x14ac:dyDescent="0.2">
      <c r="A19" t="s">
        <v>32</v>
      </c>
      <c r="B19" t="s">
        <v>33</v>
      </c>
      <c r="C19" s="1">
        <v>45687.510416666664</v>
      </c>
      <c r="D19" t="s">
        <v>52</v>
      </c>
      <c r="E19" t="s">
        <v>52</v>
      </c>
      <c r="F19" t="s">
        <v>20</v>
      </c>
      <c r="G19" t="s">
        <v>20</v>
      </c>
      <c r="H19" t="s">
        <v>20</v>
      </c>
      <c r="I19" t="s">
        <v>219</v>
      </c>
      <c r="J19" t="s">
        <v>220</v>
      </c>
      <c r="K19">
        <v>1.79368275179736E+16</v>
      </c>
      <c r="L19">
        <v>878</v>
      </c>
      <c r="M19">
        <v>19</v>
      </c>
      <c r="N19">
        <v>616</v>
      </c>
      <c r="O19" t="s">
        <v>19</v>
      </c>
      <c r="P19">
        <v>3.08</v>
      </c>
      <c r="Q19">
        <v>1</v>
      </c>
    </row>
    <row r="20" spans="1:17" x14ac:dyDescent="0.2">
      <c r="A20" t="s">
        <v>32</v>
      </c>
      <c r="B20" t="s">
        <v>33</v>
      </c>
      <c r="C20" s="1">
        <v>45685.489918981482</v>
      </c>
      <c r="D20" t="s">
        <v>78</v>
      </c>
      <c r="E20" t="s">
        <v>18</v>
      </c>
      <c r="F20" t="s">
        <v>20</v>
      </c>
      <c r="G20" t="s">
        <v>20</v>
      </c>
      <c r="H20" t="s">
        <v>20</v>
      </c>
      <c r="I20" t="s">
        <v>227</v>
      </c>
      <c r="J20" t="s">
        <v>228</v>
      </c>
      <c r="K20">
        <v>1.78440234483987E+16</v>
      </c>
      <c r="L20">
        <v>2708</v>
      </c>
      <c r="M20">
        <v>151</v>
      </c>
      <c r="N20">
        <v>1630</v>
      </c>
      <c r="O20" t="s">
        <v>19</v>
      </c>
      <c r="P20">
        <v>9.26</v>
      </c>
      <c r="Q20">
        <v>19</v>
      </c>
    </row>
    <row r="21" spans="1:17" x14ac:dyDescent="0.2">
      <c r="A21" t="s">
        <v>32</v>
      </c>
      <c r="B21" t="s">
        <v>33</v>
      </c>
      <c r="C21" s="1">
        <v>45680.417314814818</v>
      </c>
      <c r="D21" t="s">
        <v>78</v>
      </c>
      <c r="E21" t="s">
        <v>18</v>
      </c>
      <c r="F21" t="s">
        <v>20</v>
      </c>
      <c r="G21" t="s">
        <v>20</v>
      </c>
      <c r="H21" t="s">
        <v>20</v>
      </c>
      <c r="I21" t="s">
        <v>241</v>
      </c>
      <c r="J21" t="s">
        <v>242</v>
      </c>
      <c r="K21">
        <v>1.80732557416776E+16</v>
      </c>
      <c r="L21">
        <v>982</v>
      </c>
      <c r="M21">
        <v>13</v>
      </c>
      <c r="N21">
        <v>557</v>
      </c>
      <c r="O21" t="s">
        <v>19</v>
      </c>
      <c r="P21">
        <v>2.33</v>
      </c>
      <c r="Q21">
        <v>2</v>
      </c>
    </row>
    <row r="22" spans="1:17" x14ac:dyDescent="0.2">
      <c r="A22" t="s">
        <v>32</v>
      </c>
      <c r="B22" t="s">
        <v>33</v>
      </c>
      <c r="C22" s="1">
        <v>45679.649004629631</v>
      </c>
      <c r="D22" t="s">
        <v>52</v>
      </c>
      <c r="E22" t="s">
        <v>52</v>
      </c>
      <c r="F22" t="s">
        <v>20</v>
      </c>
      <c r="G22" t="s">
        <v>20</v>
      </c>
      <c r="H22" t="s">
        <v>20</v>
      </c>
      <c r="I22" t="s">
        <v>252</v>
      </c>
      <c r="J22" t="s">
        <v>253</v>
      </c>
      <c r="K22">
        <v>1.78945533331396E+16</v>
      </c>
      <c r="L22">
        <v>717</v>
      </c>
      <c r="M22">
        <v>15</v>
      </c>
      <c r="N22">
        <v>480</v>
      </c>
      <c r="O22" t="s">
        <v>19</v>
      </c>
      <c r="P22">
        <v>3.13</v>
      </c>
      <c r="Q22">
        <v>1</v>
      </c>
    </row>
    <row r="23" spans="1:17" x14ac:dyDescent="0.2">
      <c r="A23" t="s">
        <v>32</v>
      </c>
      <c r="B23" t="s">
        <v>33</v>
      </c>
      <c r="C23" s="1">
        <v>45673.418993055559</v>
      </c>
      <c r="D23" t="s">
        <v>52</v>
      </c>
      <c r="E23" t="s">
        <v>52</v>
      </c>
      <c r="F23" t="s">
        <v>20</v>
      </c>
      <c r="G23" t="s">
        <v>20</v>
      </c>
      <c r="H23" t="s">
        <v>20</v>
      </c>
      <c r="I23" t="s">
        <v>263</v>
      </c>
      <c r="J23" t="s">
        <v>264</v>
      </c>
      <c r="K23">
        <v>1.80756636767121E+16</v>
      </c>
      <c r="L23">
        <v>1157</v>
      </c>
      <c r="M23">
        <v>29</v>
      </c>
      <c r="N23">
        <v>764</v>
      </c>
      <c r="O23" t="s">
        <v>19</v>
      </c>
      <c r="P23">
        <v>3.8</v>
      </c>
      <c r="Q23">
        <v>6</v>
      </c>
    </row>
    <row r="24" spans="1:17" x14ac:dyDescent="0.2">
      <c r="A24" t="s">
        <v>32</v>
      </c>
      <c r="B24" t="s">
        <v>33</v>
      </c>
      <c r="C24" s="1">
        <v>45671.413194444445</v>
      </c>
      <c r="D24" t="s">
        <v>52</v>
      </c>
      <c r="E24" t="s">
        <v>52</v>
      </c>
      <c r="F24" t="s">
        <v>20</v>
      </c>
      <c r="G24" t="s">
        <v>20</v>
      </c>
      <c r="H24" t="s">
        <v>20</v>
      </c>
      <c r="I24" t="s">
        <v>277</v>
      </c>
      <c r="J24" t="s">
        <v>278</v>
      </c>
      <c r="K24">
        <v>1.8028689995281E+16</v>
      </c>
      <c r="L24">
        <v>948</v>
      </c>
      <c r="M24">
        <v>22</v>
      </c>
      <c r="N24">
        <v>599</v>
      </c>
      <c r="O24" t="s">
        <v>19</v>
      </c>
      <c r="P24">
        <v>3.67</v>
      </c>
      <c r="Q24">
        <v>2</v>
      </c>
    </row>
    <row r="25" spans="1:17" x14ac:dyDescent="0.2">
      <c r="A25" t="s">
        <v>32</v>
      </c>
      <c r="B25" t="s">
        <v>33</v>
      </c>
      <c r="C25" s="1">
        <v>45666.489583333336</v>
      </c>
      <c r="D25" t="s">
        <v>52</v>
      </c>
      <c r="E25" t="s">
        <v>52</v>
      </c>
      <c r="F25" t="s">
        <v>20</v>
      </c>
      <c r="G25" t="s">
        <v>20</v>
      </c>
      <c r="H25" t="s">
        <v>20</v>
      </c>
      <c r="I25" t="s">
        <v>285</v>
      </c>
      <c r="J25" t="s">
        <v>286</v>
      </c>
      <c r="K25">
        <v>1.80389557855207E+16</v>
      </c>
      <c r="L25">
        <v>1547</v>
      </c>
      <c r="M25">
        <v>40</v>
      </c>
      <c r="N25">
        <v>773</v>
      </c>
      <c r="O25" t="s">
        <v>19</v>
      </c>
      <c r="P25">
        <v>5.17</v>
      </c>
      <c r="Q25">
        <v>5</v>
      </c>
    </row>
    <row r="26" spans="1:17" x14ac:dyDescent="0.2">
      <c r="A26" t="s">
        <v>32</v>
      </c>
      <c r="B26" t="s">
        <v>33</v>
      </c>
      <c r="C26" s="1">
        <v>45665.417233796295</v>
      </c>
      <c r="D26" t="s">
        <v>17</v>
      </c>
      <c r="E26" t="s">
        <v>18</v>
      </c>
      <c r="F26" t="s">
        <v>20</v>
      </c>
      <c r="G26" t="s">
        <v>20</v>
      </c>
      <c r="H26" t="s">
        <v>20</v>
      </c>
      <c r="I26" t="s">
        <v>293</v>
      </c>
      <c r="J26" t="s">
        <v>294</v>
      </c>
      <c r="K26">
        <v>1.80477559941414E+16</v>
      </c>
      <c r="L26">
        <v>645</v>
      </c>
      <c r="M26">
        <v>10</v>
      </c>
      <c r="N26">
        <v>338</v>
      </c>
      <c r="O26" t="s">
        <v>19</v>
      </c>
      <c r="P26">
        <v>2.96</v>
      </c>
      <c r="Q26">
        <v>0</v>
      </c>
    </row>
    <row r="27" spans="1:17" x14ac:dyDescent="0.2">
      <c r="A27" t="s">
        <v>32</v>
      </c>
      <c r="B27" t="s">
        <v>33</v>
      </c>
      <c r="C27" s="1">
        <v>45663.385416666664</v>
      </c>
      <c r="D27" t="s">
        <v>52</v>
      </c>
      <c r="E27" t="s">
        <v>52</v>
      </c>
      <c r="F27" t="s">
        <v>20</v>
      </c>
      <c r="G27" t="s">
        <v>20</v>
      </c>
      <c r="H27" t="s">
        <v>20</v>
      </c>
      <c r="I27" t="s">
        <v>298</v>
      </c>
      <c r="J27" t="s">
        <v>299</v>
      </c>
      <c r="K27">
        <v>1.80413532952482E+16</v>
      </c>
      <c r="L27">
        <v>808</v>
      </c>
      <c r="M27">
        <v>27</v>
      </c>
      <c r="N27">
        <v>595</v>
      </c>
      <c r="O27" t="s">
        <v>19</v>
      </c>
      <c r="P27">
        <v>4.54</v>
      </c>
      <c r="Q27">
        <v>0</v>
      </c>
    </row>
    <row r="28" spans="1:17" x14ac:dyDescent="0.2">
      <c r="A28" t="s">
        <v>32</v>
      </c>
      <c r="B28" t="s">
        <v>33</v>
      </c>
      <c r="C28" s="1">
        <v>45659.419039351851</v>
      </c>
      <c r="D28" t="s">
        <v>52</v>
      </c>
      <c r="E28" t="s">
        <v>52</v>
      </c>
      <c r="F28" t="s">
        <v>20</v>
      </c>
      <c r="G28" t="s">
        <v>20</v>
      </c>
      <c r="H28" t="s">
        <v>20</v>
      </c>
      <c r="I28" t="s">
        <v>306</v>
      </c>
      <c r="J28" t="s">
        <v>307</v>
      </c>
      <c r="K28">
        <v>1.79776093436576E+16</v>
      </c>
      <c r="L28">
        <v>1001</v>
      </c>
      <c r="M28">
        <v>21</v>
      </c>
      <c r="N28">
        <v>636</v>
      </c>
      <c r="O28" t="s">
        <v>19</v>
      </c>
      <c r="P28">
        <v>3.3</v>
      </c>
      <c r="Q28">
        <v>2</v>
      </c>
    </row>
    <row r="29" spans="1:17" x14ac:dyDescent="0.2">
      <c r="A29" t="s">
        <v>317</v>
      </c>
      <c r="C29" s="1"/>
      <c r="L29">
        <f>SUM(L2:L28)</f>
        <v>27565</v>
      </c>
      <c r="M29">
        <f>SUM(M2:M28)</f>
        <v>747</v>
      </c>
      <c r="N29">
        <f>SUM(N2:N28)</f>
        <v>16454</v>
      </c>
      <c r="O29">
        <f>SUMIF(O2:O28,"&lt;&gt;-")</f>
        <v>0</v>
      </c>
      <c r="P29">
        <f>AVERAGE(P2:P28)</f>
        <v>4.1377777777777771</v>
      </c>
      <c r="Q29">
        <f>SUM(Q2:Q28)</f>
        <v>83</v>
      </c>
    </row>
    <row r="30" spans="1:17" x14ac:dyDescent="0.2">
      <c r="A30" t="s">
        <v>21</v>
      </c>
      <c r="B30" t="s">
        <v>22</v>
      </c>
      <c r="C30" s="1">
        <v>45744.458356481482</v>
      </c>
      <c r="D30" t="s">
        <v>23</v>
      </c>
      <c r="E30" t="s">
        <v>18</v>
      </c>
      <c r="F30" t="s">
        <v>19</v>
      </c>
      <c r="G30" t="s">
        <v>19</v>
      </c>
      <c r="H30" t="s">
        <v>20</v>
      </c>
      <c r="I30" t="s">
        <v>24</v>
      </c>
      <c r="J30" t="s">
        <v>25</v>
      </c>
      <c r="K30" t="s">
        <v>26</v>
      </c>
      <c r="L30">
        <v>1210</v>
      </c>
      <c r="M30">
        <v>17</v>
      </c>
      <c r="N30">
        <v>731</v>
      </c>
      <c r="O30" t="s">
        <v>19</v>
      </c>
      <c r="P30">
        <v>2.33</v>
      </c>
      <c r="Q30">
        <v>1</v>
      </c>
    </row>
    <row r="31" spans="1:17" x14ac:dyDescent="0.2">
      <c r="A31" t="s">
        <v>21</v>
      </c>
      <c r="B31" t="s">
        <v>22</v>
      </c>
      <c r="C31" s="1">
        <v>45744.354224537034</v>
      </c>
      <c r="D31" t="s">
        <v>27</v>
      </c>
      <c r="E31" t="s">
        <v>18</v>
      </c>
      <c r="F31" t="s">
        <v>19</v>
      </c>
      <c r="G31" t="s">
        <v>19</v>
      </c>
      <c r="H31" t="s">
        <v>28</v>
      </c>
      <c r="I31" t="s">
        <v>29</v>
      </c>
      <c r="J31" t="s">
        <v>30</v>
      </c>
      <c r="K31" t="s">
        <v>31</v>
      </c>
      <c r="L31">
        <v>1026</v>
      </c>
      <c r="M31">
        <v>27</v>
      </c>
      <c r="N31">
        <v>632</v>
      </c>
      <c r="O31" t="s">
        <v>19</v>
      </c>
      <c r="P31">
        <v>4.2699999999999996</v>
      </c>
      <c r="Q31">
        <v>1</v>
      </c>
    </row>
    <row r="32" spans="1:17" x14ac:dyDescent="0.2">
      <c r="A32" t="s">
        <v>21</v>
      </c>
      <c r="B32" t="s">
        <v>22</v>
      </c>
      <c r="C32" s="1">
        <v>45743.375254629631</v>
      </c>
      <c r="D32" t="s">
        <v>17</v>
      </c>
      <c r="E32" t="s">
        <v>18</v>
      </c>
      <c r="F32" t="s">
        <v>19</v>
      </c>
      <c r="G32" t="s">
        <v>19</v>
      </c>
      <c r="H32" t="s">
        <v>20</v>
      </c>
      <c r="I32" t="s">
        <v>36</v>
      </c>
      <c r="J32" t="s">
        <v>37</v>
      </c>
      <c r="K32" t="s">
        <v>38</v>
      </c>
      <c r="L32">
        <v>831</v>
      </c>
      <c r="M32">
        <v>12</v>
      </c>
      <c r="N32">
        <v>491</v>
      </c>
      <c r="O32" t="s">
        <v>19</v>
      </c>
      <c r="P32">
        <v>2.44</v>
      </c>
      <c r="Q32">
        <v>0</v>
      </c>
    </row>
    <row r="33" spans="1:17" x14ac:dyDescent="0.2">
      <c r="A33" t="s">
        <v>21</v>
      </c>
      <c r="B33" t="s">
        <v>22</v>
      </c>
      <c r="C33" s="1">
        <v>45742.579317129632</v>
      </c>
      <c r="D33" t="s">
        <v>27</v>
      </c>
      <c r="E33" t="s">
        <v>18</v>
      </c>
      <c r="F33" t="s">
        <v>19</v>
      </c>
      <c r="G33" t="s">
        <v>19</v>
      </c>
      <c r="H33" t="s">
        <v>28</v>
      </c>
      <c r="I33" t="s">
        <v>39</v>
      </c>
      <c r="J33" t="s">
        <v>40</v>
      </c>
      <c r="K33" t="s">
        <v>41</v>
      </c>
      <c r="L33">
        <v>1531</v>
      </c>
      <c r="M33">
        <v>22</v>
      </c>
      <c r="N33">
        <v>921</v>
      </c>
      <c r="O33" t="s">
        <v>19</v>
      </c>
      <c r="P33">
        <v>2.39</v>
      </c>
      <c r="Q33">
        <v>2</v>
      </c>
    </row>
    <row r="34" spans="1:17" x14ac:dyDescent="0.2">
      <c r="A34" t="s">
        <v>21</v>
      </c>
      <c r="B34" t="s">
        <v>22</v>
      </c>
      <c r="C34" s="1">
        <v>45742.33520833333</v>
      </c>
      <c r="D34" t="s">
        <v>48</v>
      </c>
      <c r="E34" t="s">
        <v>18</v>
      </c>
      <c r="F34" t="s">
        <v>19</v>
      </c>
      <c r="G34" t="s">
        <v>19</v>
      </c>
      <c r="H34" t="s">
        <v>20</v>
      </c>
      <c r="I34" t="s">
        <v>49</v>
      </c>
      <c r="J34" t="s">
        <v>50</v>
      </c>
      <c r="K34" t="s">
        <v>51</v>
      </c>
      <c r="L34">
        <v>2364</v>
      </c>
      <c r="M34">
        <v>44</v>
      </c>
      <c r="N34">
        <v>1401</v>
      </c>
      <c r="O34">
        <v>1406</v>
      </c>
      <c r="P34">
        <v>3.14</v>
      </c>
      <c r="Q34">
        <v>5</v>
      </c>
    </row>
    <row r="35" spans="1:17" x14ac:dyDescent="0.2">
      <c r="A35" t="s">
        <v>21</v>
      </c>
      <c r="B35" t="s">
        <v>22</v>
      </c>
      <c r="C35" s="1">
        <v>45741.359166666669</v>
      </c>
      <c r="D35" t="s">
        <v>17</v>
      </c>
      <c r="E35" t="s">
        <v>18</v>
      </c>
      <c r="F35" t="s">
        <v>19</v>
      </c>
      <c r="G35" t="s">
        <v>19</v>
      </c>
      <c r="H35" t="s">
        <v>20</v>
      </c>
      <c r="I35" t="s">
        <v>55</v>
      </c>
      <c r="J35" t="s">
        <v>56</v>
      </c>
      <c r="K35" t="s">
        <v>57</v>
      </c>
      <c r="L35">
        <v>1785</v>
      </c>
      <c r="M35">
        <v>48</v>
      </c>
      <c r="N35">
        <v>895</v>
      </c>
      <c r="O35" t="s">
        <v>19</v>
      </c>
      <c r="P35">
        <v>5.36</v>
      </c>
      <c r="Q35">
        <v>6</v>
      </c>
    </row>
    <row r="36" spans="1:17" x14ac:dyDescent="0.2">
      <c r="A36" t="s">
        <v>21</v>
      </c>
      <c r="B36" t="s">
        <v>22</v>
      </c>
      <c r="C36" s="1">
        <v>45740.312581018516</v>
      </c>
      <c r="D36" t="s">
        <v>17</v>
      </c>
      <c r="E36" t="s">
        <v>18</v>
      </c>
      <c r="F36" t="s">
        <v>19</v>
      </c>
      <c r="G36" t="s">
        <v>19</v>
      </c>
      <c r="H36" t="s">
        <v>20</v>
      </c>
      <c r="I36" t="s">
        <v>60</v>
      </c>
      <c r="J36" t="s">
        <v>61</v>
      </c>
      <c r="K36" t="s">
        <v>62</v>
      </c>
      <c r="L36">
        <v>644</v>
      </c>
      <c r="M36">
        <v>14</v>
      </c>
      <c r="N36">
        <v>383</v>
      </c>
      <c r="O36" t="s">
        <v>19</v>
      </c>
      <c r="P36">
        <v>3.66</v>
      </c>
      <c r="Q36">
        <v>1</v>
      </c>
    </row>
    <row r="37" spans="1:17" x14ac:dyDescent="0.2">
      <c r="A37" t="s">
        <v>21</v>
      </c>
      <c r="B37" t="s">
        <v>22</v>
      </c>
      <c r="C37" s="1">
        <v>45737.333622685182</v>
      </c>
      <c r="D37" t="s">
        <v>66</v>
      </c>
      <c r="E37" t="s">
        <v>18</v>
      </c>
      <c r="F37" t="s">
        <v>19</v>
      </c>
      <c r="G37" t="s">
        <v>19</v>
      </c>
      <c r="H37" t="s">
        <v>20</v>
      </c>
      <c r="I37" t="s">
        <v>67</v>
      </c>
      <c r="J37" t="s">
        <v>68</v>
      </c>
      <c r="K37" t="s">
        <v>69</v>
      </c>
      <c r="L37">
        <v>7508</v>
      </c>
      <c r="M37">
        <v>88</v>
      </c>
      <c r="N37">
        <v>3738</v>
      </c>
      <c r="O37" t="s">
        <v>19</v>
      </c>
      <c r="P37">
        <v>2.35</v>
      </c>
      <c r="Q37">
        <v>9</v>
      </c>
    </row>
    <row r="38" spans="1:17" x14ac:dyDescent="0.2">
      <c r="A38" t="s">
        <v>21</v>
      </c>
      <c r="B38" t="s">
        <v>22</v>
      </c>
      <c r="C38" s="1">
        <v>45736.427245370367</v>
      </c>
      <c r="D38" t="s">
        <v>48</v>
      </c>
      <c r="E38" t="s">
        <v>18</v>
      </c>
      <c r="F38" t="s">
        <v>19</v>
      </c>
      <c r="G38" t="s">
        <v>19</v>
      </c>
      <c r="H38" t="s">
        <v>20</v>
      </c>
      <c r="I38" t="s">
        <v>70</v>
      </c>
      <c r="J38" t="s">
        <v>71</v>
      </c>
      <c r="K38" t="s">
        <v>72</v>
      </c>
      <c r="L38">
        <v>1463</v>
      </c>
      <c r="M38">
        <v>41</v>
      </c>
      <c r="N38">
        <v>863</v>
      </c>
      <c r="O38">
        <v>467</v>
      </c>
      <c r="P38">
        <v>4.75</v>
      </c>
      <c r="Q38">
        <v>7</v>
      </c>
    </row>
    <row r="39" spans="1:17" x14ac:dyDescent="0.2">
      <c r="A39" t="s">
        <v>21</v>
      </c>
      <c r="B39" t="s">
        <v>22</v>
      </c>
      <c r="C39" s="1">
        <v>45735.333692129629</v>
      </c>
      <c r="D39" t="s">
        <v>17</v>
      </c>
      <c r="E39" t="s">
        <v>18</v>
      </c>
      <c r="F39" t="s">
        <v>19</v>
      </c>
      <c r="G39" t="s">
        <v>19</v>
      </c>
      <c r="H39" t="s">
        <v>20</v>
      </c>
      <c r="I39" t="s">
        <v>75</v>
      </c>
      <c r="J39" t="s">
        <v>76</v>
      </c>
      <c r="K39" t="s">
        <v>77</v>
      </c>
      <c r="L39">
        <v>1548</v>
      </c>
      <c r="M39">
        <v>26</v>
      </c>
      <c r="N39">
        <v>804</v>
      </c>
      <c r="O39" t="s">
        <v>19</v>
      </c>
      <c r="P39">
        <v>3.23</v>
      </c>
      <c r="Q39">
        <v>4</v>
      </c>
    </row>
    <row r="40" spans="1:17" x14ac:dyDescent="0.2">
      <c r="A40" t="s">
        <v>21</v>
      </c>
      <c r="B40" t="s">
        <v>22</v>
      </c>
      <c r="C40" s="1">
        <v>45734.333587962959</v>
      </c>
      <c r="D40" t="s">
        <v>66</v>
      </c>
      <c r="E40" t="s">
        <v>18</v>
      </c>
      <c r="F40" t="s">
        <v>19</v>
      </c>
      <c r="G40" t="s">
        <v>19</v>
      </c>
      <c r="H40" t="s">
        <v>20</v>
      </c>
      <c r="I40" t="s">
        <v>81</v>
      </c>
      <c r="J40" t="s">
        <v>82</v>
      </c>
      <c r="K40" t="s">
        <v>83</v>
      </c>
      <c r="L40">
        <v>2482</v>
      </c>
      <c r="M40">
        <v>48</v>
      </c>
      <c r="N40">
        <v>1487</v>
      </c>
      <c r="O40" t="s">
        <v>19</v>
      </c>
      <c r="P40">
        <v>3.23</v>
      </c>
      <c r="Q40">
        <v>3</v>
      </c>
    </row>
    <row r="41" spans="1:17" x14ac:dyDescent="0.2">
      <c r="A41" t="s">
        <v>21</v>
      </c>
      <c r="B41" t="s">
        <v>22</v>
      </c>
      <c r="C41" s="1">
        <v>45733.454409722224</v>
      </c>
      <c r="D41" t="s">
        <v>66</v>
      </c>
      <c r="E41" t="s">
        <v>18</v>
      </c>
      <c r="F41" t="s">
        <v>19</v>
      </c>
      <c r="G41" t="s">
        <v>19</v>
      </c>
      <c r="H41" t="s">
        <v>20</v>
      </c>
      <c r="I41" t="s">
        <v>86</v>
      </c>
      <c r="J41" t="s">
        <v>87</v>
      </c>
      <c r="K41" t="s">
        <v>88</v>
      </c>
      <c r="L41">
        <v>1622</v>
      </c>
      <c r="M41">
        <v>38</v>
      </c>
      <c r="N41">
        <v>864</v>
      </c>
      <c r="O41" t="s">
        <v>19</v>
      </c>
      <c r="P41">
        <v>4.4000000000000004</v>
      </c>
      <c r="Q41">
        <v>13</v>
      </c>
    </row>
    <row r="42" spans="1:17" x14ac:dyDescent="0.2">
      <c r="A42" t="s">
        <v>21</v>
      </c>
      <c r="B42" t="s">
        <v>22</v>
      </c>
      <c r="C42" s="1">
        <v>45729.355879629627</v>
      </c>
      <c r="D42" t="s">
        <v>48</v>
      </c>
      <c r="E42" t="s">
        <v>18</v>
      </c>
      <c r="F42" t="s">
        <v>19</v>
      </c>
      <c r="G42" t="s">
        <v>19</v>
      </c>
      <c r="H42" t="s">
        <v>20</v>
      </c>
      <c r="I42" t="s">
        <v>94</v>
      </c>
      <c r="J42" t="s">
        <v>95</v>
      </c>
      <c r="K42" t="s">
        <v>96</v>
      </c>
      <c r="L42">
        <v>989</v>
      </c>
      <c r="M42">
        <v>26</v>
      </c>
      <c r="N42">
        <v>593</v>
      </c>
      <c r="O42">
        <v>468</v>
      </c>
      <c r="P42">
        <v>4.38</v>
      </c>
      <c r="Q42">
        <v>4</v>
      </c>
    </row>
    <row r="43" spans="1:17" x14ac:dyDescent="0.2">
      <c r="A43" t="s">
        <v>21</v>
      </c>
      <c r="B43" t="s">
        <v>22</v>
      </c>
      <c r="C43" s="1">
        <v>45728.438125000001</v>
      </c>
      <c r="D43" t="s">
        <v>17</v>
      </c>
      <c r="E43" t="s">
        <v>18</v>
      </c>
      <c r="F43" t="s">
        <v>19</v>
      </c>
      <c r="G43" t="s">
        <v>19</v>
      </c>
      <c r="H43" t="s">
        <v>20</v>
      </c>
      <c r="I43" t="s">
        <v>100</v>
      </c>
      <c r="J43" t="s">
        <v>101</v>
      </c>
      <c r="K43" t="s">
        <v>102</v>
      </c>
      <c r="L43">
        <v>1298</v>
      </c>
      <c r="M43">
        <v>23</v>
      </c>
      <c r="N43">
        <v>685</v>
      </c>
      <c r="O43" t="s">
        <v>19</v>
      </c>
      <c r="P43">
        <v>3.36</v>
      </c>
      <c r="Q43">
        <v>4</v>
      </c>
    </row>
    <row r="44" spans="1:17" x14ac:dyDescent="0.2">
      <c r="A44" t="s">
        <v>21</v>
      </c>
      <c r="B44" t="s">
        <v>22</v>
      </c>
      <c r="C44" s="1">
        <v>45727.334097222221</v>
      </c>
      <c r="D44" t="s">
        <v>66</v>
      </c>
      <c r="E44" t="s">
        <v>18</v>
      </c>
      <c r="F44" t="s">
        <v>19</v>
      </c>
      <c r="G44" t="s">
        <v>19</v>
      </c>
      <c r="H44" t="s">
        <v>20</v>
      </c>
      <c r="I44" t="s">
        <v>111</v>
      </c>
      <c r="J44" t="s">
        <v>112</v>
      </c>
      <c r="K44" t="s">
        <v>113</v>
      </c>
      <c r="L44">
        <v>1399</v>
      </c>
      <c r="M44">
        <v>28</v>
      </c>
      <c r="N44">
        <v>836</v>
      </c>
      <c r="O44" t="s">
        <v>19</v>
      </c>
      <c r="P44">
        <v>3.35</v>
      </c>
      <c r="Q44">
        <v>4</v>
      </c>
    </row>
    <row r="45" spans="1:17" x14ac:dyDescent="0.2">
      <c r="A45" t="s">
        <v>21</v>
      </c>
      <c r="B45" t="s">
        <v>22</v>
      </c>
      <c r="C45" s="1">
        <v>45722.335011574076</v>
      </c>
      <c r="D45" t="s">
        <v>48</v>
      </c>
      <c r="E45" t="s">
        <v>18</v>
      </c>
      <c r="F45" t="s">
        <v>19</v>
      </c>
      <c r="G45" t="s">
        <v>19</v>
      </c>
      <c r="H45" t="s">
        <v>20</v>
      </c>
      <c r="I45" t="s">
        <v>119</v>
      </c>
      <c r="J45" t="s">
        <v>120</v>
      </c>
      <c r="K45" t="s">
        <v>121</v>
      </c>
      <c r="L45">
        <v>1420</v>
      </c>
      <c r="M45">
        <v>21</v>
      </c>
      <c r="N45">
        <v>845</v>
      </c>
      <c r="O45">
        <v>610</v>
      </c>
      <c r="P45">
        <v>2.4900000000000002</v>
      </c>
      <c r="Q45">
        <v>3</v>
      </c>
    </row>
    <row r="46" spans="1:17" x14ac:dyDescent="0.2">
      <c r="A46" t="s">
        <v>21</v>
      </c>
      <c r="B46" t="s">
        <v>22</v>
      </c>
      <c r="C46" s="1">
        <v>45721.314120370371</v>
      </c>
      <c r="D46" t="s">
        <v>48</v>
      </c>
      <c r="E46" t="s">
        <v>18</v>
      </c>
      <c r="F46" t="s">
        <v>19</v>
      </c>
      <c r="G46" t="s">
        <v>19</v>
      </c>
      <c r="H46" t="s">
        <v>20</v>
      </c>
      <c r="I46" t="s">
        <v>127</v>
      </c>
      <c r="J46" t="s">
        <v>128</v>
      </c>
      <c r="K46" t="s">
        <v>129</v>
      </c>
      <c r="L46">
        <v>2842</v>
      </c>
      <c r="M46">
        <v>87</v>
      </c>
      <c r="N46">
        <v>1567</v>
      </c>
      <c r="O46">
        <v>1415</v>
      </c>
      <c r="P46">
        <v>5.55</v>
      </c>
      <c r="Q46">
        <v>13</v>
      </c>
    </row>
    <row r="47" spans="1:17" x14ac:dyDescent="0.2">
      <c r="A47" t="s">
        <v>21</v>
      </c>
      <c r="B47" t="s">
        <v>22</v>
      </c>
      <c r="C47" s="1">
        <v>45719.333634259259</v>
      </c>
      <c r="D47" t="s">
        <v>23</v>
      </c>
      <c r="E47" t="s">
        <v>18</v>
      </c>
      <c r="F47" t="s">
        <v>19</v>
      </c>
      <c r="G47" t="s">
        <v>19</v>
      </c>
      <c r="H47" t="s">
        <v>20</v>
      </c>
      <c r="I47" t="s">
        <v>130</v>
      </c>
      <c r="J47" t="s">
        <v>131</v>
      </c>
      <c r="K47" t="s">
        <v>132</v>
      </c>
      <c r="L47">
        <v>1358</v>
      </c>
      <c r="M47">
        <v>18</v>
      </c>
      <c r="N47">
        <v>902</v>
      </c>
      <c r="O47" t="s">
        <v>19</v>
      </c>
      <c r="P47">
        <v>2</v>
      </c>
      <c r="Q47">
        <v>3</v>
      </c>
    </row>
    <row r="48" spans="1:17" x14ac:dyDescent="0.2">
      <c r="A48" t="s">
        <v>21</v>
      </c>
      <c r="B48" t="s">
        <v>22</v>
      </c>
      <c r="C48" s="1">
        <v>45715.343761574077</v>
      </c>
      <c r="D48" t="s">
        <v>23</v>
      </c>
      <c r="E48" t="s">
        <v>18</v>
      </c>
      <c r="F48" t="s">
        <v>19</v>
      </c>
      <c r="G48" t="s">
        <v>19</v>
      </c>
      <c r="H48" t="s">
        <v>20</v>
      </c>
      <c r="I48" t="s">
        <v>136</v>
      </c>
      <c r="J48" t="s">
        <v>137</v>
      </c>
      <c r="K48" t="s">
        <v>138</v>
      </c>
      <c r="L48">
        <v>1832</v>
      </c>
      <c r="M48">
        <v>25</v>
      </c>
      <c r="N48">
        <v>985</v>
      </c>
      <c r="O48" t="s">
        <v>19</v>
      </c>
      <c r="P48">
        <v>2.54</v>
      </c>
      <c r="Q48">
        <v>3</v>
      </c>
    </row>
    <row r="49" spans="1:17" x14ac:dyDescent="0.2">
      <c r="A49" t="s">
        <v>21</v>
      </c>
      <c r="B49" t="s">
        <v>22</v>
      </c>
      <c r="C49" s="1">
        <v>45714.302858796298</v>
      </c>
      <c r="D49" t="s">
        <v>66</v>
      </c>
      <c r="E49" t="s">
        <v>18</v>
      </c>
      <c r="F49" t="s">
        <v>19</v>
      </c>
      <c r="G49" t="s">
        <v>19</v>
      </c>
      <c r="H49" t="s">
        <v>20</v>
      </c>
      <c r="I49" t="s">
        <v>141</v>
      </c>
      <c r="J49" t="s">
        <v>142</v>
      </c>
      <c r="K49" t="s">
        <v>143</v>
      </c>
      <c r="L49">
        <v>1459</v>
      </c>
      <c r="M49">
        <v>25</v>
      </c>
      <c r="N49">
        <v>856</v>
      </c>
      <c r="O49" t="s">
        <v>19</v>
      </c>
      <c r="P49">
        <v>2.92</v>
      </c>
      <c r="Q49">
        <v>6</v>
      </c>
    </row>
    <row r="50" spans="1:17" x14ac:dyDescent="0.2">
      <c r="A50" t="s">
        <v>21</v>
      </c>
      <c r="B50" t="s">
        <v>22</v>
      </c>
      <c r="C50" s="1">
        <v>45712.365127314813</v>
      </c>
      <c r="D50" t="s">
        <v>23</v>
      </c>
      <c r="E50" t="s">
        <v>18</v>
      </c>
      <c r="F50" t="s">
        <v>19</v>
      </c>
      <c r="G50" t="s">
        <v>19</v>
      </c>
      <c r="H50" t="s">
        <v>20</v>
      </c>
      <c r="I50" t="s">
        <v>144</v>
      </c>
      <c r="J50" t="s">
        <v>145</v>
      </c>
      <c r="K50" t="s">
        <v>146</v>
      </c>
      <c r="L50">
        <v>2380</v>
      </c>
      <c r="M50">
        <v>35</v>
      </c>
      <c r="N50">
        <v>1109</v>
      </c>
      <c r="O50" t="s">
        <v>19</v>
      </c>
      <c r="P50">
        <v>3.16</v>
      </c>
      <c r="Q50">
        <v>10</v>
      </c>
    </row>
    <row r="51" spans="1:17" x14ac:dyDescent="0.2">
      <c r="A51" t="s">
        <v>21</v>
      </c>
      <c r="B51" t="s">
        <v>22</v>
      </c>
      <c r="C51" s="1">
        <v>45708.313946759263</v>
      </c>
      <c r="D51" t="s">
        <v>48</v>
      </c>
      <c r="E51" t="s">
        <v>18</v>
      </c>
      <c r="F51" t="s">
        <v>19</v>
      </c>
      <c r="G51" t="s">
        <v>19</v>
      </c>
      <c r="H51" t="s">
        <v>20</v>
      </c>
      <c r="I51" t="s">
        <v>152</v>
      </c>
      <c r="J51" t="s">
        <v>153</v>
      </c>
      <c r="K51" t="s">
        <v>154</v>
      </c>
      <c r="L51">
        <v>1594</v>
      </c>
      <c r="M51">
        <v>30</v>
      </c>
      <c r="N51">
        <v>868</v>
      </c>
      <c r="O51">
        <v>543</v>
      </c>
      <c r="P51">
        <v>3.46</v>
      </c>
      <c r="Q51">
        <v>3</v>
      </c>
    </row>
    <row r="52" spans="1:17" x14ac:dyDescent="0.2">
      <c r="A52" t="s">
        <v>21</v>
      </c>
      <c r="B52" t="s">
        <v>22</v>
      </c>
      <c r="C52" s="1">
        <v>45706.485439814816</v>
      </c>
      <c r="D52" t="s">
        <v>27</v>
      </c>
      <c r="E52" t="s">
        <v>18</v>
      </c>
      <c r="F52" t="s">
        <v>19</v>
      </c>
      <c r="G52" t="s">
        <v>19</v>
      </c>
      <c r="H52" t="s">
        <v>28</v>
      </c>
      <c r="I52" t="s">
        <v>155</v>
      </c>
      <c r="J52" t="s">
        <v>156</v>
      </c>
      <c r="K52" t="s">
        <v>157</v>
      </c>
      <c r="L52">
        <v>1582</v>
      </c>
      <c r="M52">
        <v>18</v>
      </c>
      <c r="N52">
        <v>965</v>
      </c>
      <c r="O52" t="s">
        <v>19</v>
      </c>
      <c r="P52">
        <v>1.87</v>
      </c>
      <c r="Q52">
        <v>0</v>
      </c>
    </row>
    <row r="53" spans="1:17" x14ac:dyDescent="0.2">
      <c r="A53" t="s">
        <v>21</v>
      </c>
      <c r="B53" t="s">
        <v>22</v>
      </c>
      <c r="C53" s="1">
        <v>45705.314074074071</v>
      </c>
      <c r="D53" t="s">
        <v>48</v>
      </c>
      <c r="E53" t="s">
        <v>18</v>
      </c>
      <c r="F53" t="s">
        <v>19</v>
      </c>
      <c r="G53" t="s">
        <v>19</v>
      </c>
      <c r="H53" t="s">
        <v>20</v>
      </c>
      <c r="I53" t="s">
        <v>161</v>
      </c>
      <c r="J53" t="s">
        <v>162</v>
      </c>
      <c r="K53" t="s">
        <v>163</v>
      </c>
      <c r="L53">
        <v>2963</v>
      </c>
      <c r="M53">
        <v>58</v>
      </c>
      <c r="N53">
        <v>1427</v>
      </c>
      <c r="O53">
        <v>1275</v>
      </c>
      <c r="P53">
        <v>4.0599999999999996</v>
      </c>
      <c r="Q53">
        <v>10</v>
      </c>
    </row>
    <row r="54" spans="1:17" x14ac:dyDescent="0.2">
      <c r="A54" t="s">
        <v>21</v>
      </c>
      <c r="B54" t="s">
        <v>22</v>
      </c>
      <c r="C54" s="1">
        <v>45701.25068287037</v>
      </c>
      <c r="D54" t="s">
        <v>17</v>
      </c>
      <c r="E54" t="s">
        <v>18</v>
      </c>
      <c r="F54" t="s">
        <v>19</v>
      </c>
      <c r="G54" t="s">
        <v>19</v>
      </c>
      <c r="H54" t="s">
        <v>20</v>
      </c>
      <c r="I54" t="s">
        <v>169</v>
      </c>
      <c r="J54" t="s">
        <v>170</v>
      </c>
      <c r="K54" t="s">
        <v>171</v>
      </c>
      <c r="L54">
        <v>1335</v>
      </c>
      <c r="M54">
        <v>36</v>
      </c>
      <c r="N54">
        <v>772</v>
      </c>
      <c r="O54" t="s">
        <v>19</v>
      </c>
      <c r="P54">
        <v>4.66</v>
      </c>
      <c r="Q54">
        <v>6</v>
      </c>
    </row>
    <row r="55" spans="1:17" x14ac:dyDescent="0.2">
      <c r="A55" t="s">
        <v>21</v>
      </c>
      <c r="B55" t="s">
        <v>22</v>
      </c>
      <c r="C55" s="1">
        <v>45699.374976851854</v>
      </c>
      <c r="D55" t="s">
        <v>48</v>
      </c>
      <c r="E55" t="s">
        <v>18</v>
      </c>
      <c r="F55" t="s">
        <v>19</v>
      </c>
      <c r="G55" t="s">
        <v>19</v>
      </c>
      <c r="H55" t="s">
        <v>20</v>
      </c>
      <c r="I55" t="s">
        <v>177</v>
      </c>
      <c r="J55" t="s">
        <v>178</v>
      </c>
      <c r="K55" t="s">
        <v>179</v>
      </c>
      <c r="L55">
        <v>3012</v>
      </c>
      <c r="M55">
        <v>47</v>
      </c>
      <c r="N55">
        <v>1816</v>
      </c>
      <c r="O55">
        <v>1892</v>
      </c>
      <c r="P55">
        <v>2.59</v>
      </c>
      <c r="Q55">
        <v>4</v>
      </c>
    </row>
    <row r="56" spans="1:17" x14ac:dyDescent="0.2">
      <c r="A56" t="s">
        <v>21</v>
      </c>
      <c r="B56" t="s">
        <v>22</v>
      </c>
      <c r="C56" s="1">
        <v>45698.461192129631</v>
      </c>
      <c r="D56" t="s">
        <v>48</v>
      </c>
      <c r="E56" t="s">
        <v>18</v>
      </c>
      <c r="F56" t="s">
        <v>19</v>
      </c>
      <c r="G56" t="s">
        <v>19</v>
      </c>
      <c r="H56" t="s">
        <v>20</v>
      </c>
      <c r="I56" t="s">
        <v>185</v>
      </c>
      <c r="J56" t="s">
        <v>186</v>
      </c>
      <c r="K56" t="s">
        <v>187</v>
      </c>
      <c r="L56">
        <v>1009</v>
      </c>
      <c r="M56">
        <v>22</v>
      </c>
      <c r="N56">
        <v>643</v>
      </c>
      <c r="O56">
        <v>508</v>
      </c>
      <c r="P56">
        <v>3.42</v>
      </c>
      <c r="Q56">
        <v>0</v>
      </c>
    </row>
    <row r="57" spans="1:17" x14ac:dyDescent="0.2">
      <c r="A57" t="s">
        <v>21</v>
      </c>
      <c r="B57" t="s">
        <v>22</v>
      </c>
      <c r="C57" s="1">
        <v>45694.335023148145</v>
      </c>
      <c r="D57" t="s">
        <v>48</v>
      </c>
      <c r="E57" t="s">
        <v>18</v>
      </c>
      <c r="F57" t="s">
        <v>19</v>
      </c>
      <c r="G57" t="s">
        <v>19</v>
      </c>
      <c r="H57" t="s">
        <v>20</v>
      </c>
      <c r="I57" t="s">
        <v>196</v>
      </c>
      <c r="J57" t="s">
        <v>197</v>
      </c>
      <c r="K57" t="s">
        <v>198</v>
      </c>
      <c r="L57">
        <v>1551</v>
      </c>
      <c r="M57">
        <v>51</v>
      </c>
      <c r="N57">
        <v>913</v>
      </c>
      <c r="O57">
        <v>995</v>
      </c>
      <c r="P57">
        <v>5.59</v>
      </c>
      <c r="Q57">
        <v>5</v>
      </c>
    </row>
    <row r="58" spans="1:17" x14ac:dyDescent="0.2">
      <c r="A58" t="s">
        <v>21</v>
      </c>
      <c r="B58" t="s">
        <v>22</v>
      </c>
      <c r="C58" s="1">
        <v>45693.29173611111</v>
      </c>
      <c r="D58" t="s">
        <v>23</v>
      </c>
      <c r="E58" t="s">
        <v>18</v>
      </c>
      <c r="F58" t="s">
        <v>19</v>
      </c>
      <c r="G58" t="s">
        <v>19</v>
      </c>
      <c r="H58" t="s">
        <v>20</v>
      </c>
      <c r="I58" t="s">
        <v>202</v>
      </c>
      <c r="J58" t="s">
        <v>203</v>
      </c>
      <c r="K58" t="s">
        <v>204</v>
      </c>
      <c r="L58">
        <v>5664</v>
      </c>
      <c r="M58">
        <v>169</v>
      </c>
      <c r="N58">
        <v>2631</v>
      </c>
      <c r="O58" t="s">
        <v>19</v>
      </c>
      <c r="P58">
        <v>6.42</v>
      </c>
      <c r="Q58">
        <v>26</v>
      </c>
    </row>
    <row r="59" spans="1:17" x14ac:dyDescent="0.2">
      <c r="A59" t="s">
        <v>21</v>
      </c>
      <c r="B59" t="s">
        <v>22</v>
      </c>
      <c r="C59" s="1">
        <v>45692.416770833333</v>
      </c>
      <c r="D59" t="s">
        <v>27</v>
      </c>
      <c r="E59" t="s">
        <v>18</v>
      </c>
      <c r="F59" t="s">
        <v>19</v>
      </c>
      <c r="G59" t="s">
        <v>19</v>
      </c>
      <c r="H59" t="s">
        <v>28</v>
      </c>
      <c r="I59" t="s">
        <v>205</v>
      </c>
      <c r="J59" t="s">
        <v>206</v>
      </c>
      <c r="K59" t="s">
        <v>207</v>
      </c>
      <c r="L59">
        <v>1543</v>
      </c>
      <c r="M59">
        <v>17</v>
      </c>
      <c r="N59">
        <v>907</v>
      </c>
      <c r="O59" t="s">
        <v>19</v>
      </c>
      <c r="P59">
        <v>1.87</v>
      </c>
      <c r="Q59">
        <v>2</v>
      </c>
    </row>
    <row r="60" spans="1:17" x14ac:dyDescent="0.2">
      <c r="A60" t="s">
        <v>21</v>
      </c>
      <c r="B60" t="s">
        <v>22</v>
      </c>
      <c r="C60" s="1">
        <v>45691.492604166669</v>
      </c>
      <c r="D60" t="s">
        <v>27</v>
      </c>
      <c r="E60" t="s">
        <v>18</v>
      </c>
      <c r="F60" t="s">
        <v>19</v>
      </c>
      <c r="G60" t="s">
        <v>19</v>
      </c>
      <c r="H60" t="s">
        <v>28</v>
      </c>
      <c r="I60" t="s">
        <v>210</v>
      </c>
      <c r="J60" t="s">
        <v>211</v>
      </c>
      <c r="K60" t="s">
        <v>212</v>
      </c>
      <c r="L60">
        <v>800</v>
      </c>
      <c r="M60">
        <v>13</v>
      </c>
      <c r="N60">
        <v>492</v>
      </c>
      <c r="O60" t="s">
        <v>19</v>
      </c>
      <c r="P60">
        <v>2.64</v>
      </c>
      <c r="Q60">
        <v>2</v>
      </c>
    </row>
    <row r="61" spans="1:17" x14ac:dyDescent="0.2">
      <c r="A61" t="s">
        <v>21</v>
      </c>
      <c r="B61" t="s">
        <v>22</v>
      </c>
      <c r="C61" s="1">
        <v>45691.354675925926</v>
      </c>
      <c r="D61" t="s">
        <v>66</v>
      </c>
      <c r="E61" t="s">
        <v>18</v>
      </c>
      <c r="F61" t="s">
        <v>19</v>
      </c>
      <c r="G61" t="s">
        <v>19</v>
      </c>
      <c r="H61" t="s">
        <v>20</v>
      </c>
      <c r="I61" t="s">
        <v>213</v>
      </c>
      <c r="J61" t="s">
        <v>214</v>
      </c>
      <c r="K61" t="s">
        <v>215</v>
      </c>
      <c r="L61">
        <v>1819</v>
      </c>
      <c r="M61">
        <v>43</v>
      </c>
      <c r="N61">
        <v>1040</v>
      </c>
      <c r="O61" t="s">
        <v>19</v>
      </c>
      <c r="P61">
        <v>4.13</v>
      </c>
      <c r="Q61">
        <v>6</v>
      </c>
    </row>
    <row r="62" spans="1:17" x14ac:dyDescent="0.2">
      <c r="A62" t="s">
        <v>21</v>
      </c>
      <c r="B62" t="s">
        <v>22</v>
      </c>
      <c r="C62" s="1">
        <v>45688.395891203705</v>
      </c>
      <c r="D62" t="s">
        <v>27</v>
      </c>
      <c r="E62" t="s">
        <v>18</v>
      </c>
      <c r="F62" t="s">
        <v>19</v>
      </c>
      <c r="G62" t="s">
        <v>19</v>
      </c>
      <c r="H62" t="s">
        <v>28</v>
      </c>
      <c r="I62" t="s">
        <v>216</v>
      </c>
      <c r="J62" t="s">
        <v>217</v>
      </c>
      <c r="K62" t="s">
        <v>218</v>
      </c>
      <c r="L62">
        <v>1192</v>
      </c>
      <c r="M62">
        <v>12</v>
      </c>
      <c r="N62">
        <v>785</v>
      </c>
      <c r="O62" t="s">
        <v>19</v>
      </c>
      <c r="P62">
        <v>1.53</v>
      </c>
      <c r="Q62">
        <v>0</v>
      </c>
    </row>
    <row r="63" spans="1:17" x14ac:dyDescent="0.2">
      <c r="A63" t="s">
        <v>21</v>
      </c>
      <c r="B63" t="s">
        <v>22</v>
      </c>
      <c r="C63" s="1">
        <v>45687.290578703702</v>
      </c>
      <c r="D63" t="s">
        <v>48</v>
      </c>
      <c r="E63" t="s">
        <v>18</v>
      </c>
      <c r="F63" t="s">
        <v>19</v>
      </c>
      <c r="G63" t="s">
        <v>19</v>
      </c>
      <c r="H63" t="s">
        <v>20</v>
      </c>
      <c r="I63" t="s">
        <v>221</v>
      </c>
      <c r="J63" t="s">
        <v>222</v>
      </c>
      <c r="K63" t="s">
        <v>223</v>
      </c>
      <c r="L63">
        <v>3522</v>
      </c>
      <c r="M63">
        <v>70</v>
      </c>
      <c r="N63">
        <v>1768</v>
      </c>
      <c r="O63">
        <v>1852</v>
      </c>
      <c r="P63">
        <v>3.96</v>
      </c>
      <c r="Q63">
        <v>22</v>
      </c>
    </row>
    <row r="64" spans="1:17" x14ac:dyDescent="0.2">
      <c r="A64" t="s">
        <v>21</v>
      </c>
      <c r="B64" t="s">
        <v>22</v>
      </c>
      <c r="C64" s="1">
        <v>45685.395868055559</v>
      </c>
      <c r="D64" t="s">
        <v>27</v>
      </c>
      <c r="E64" t="s">
        <v>18</v>
      </c>
      <c r="F64" t="s">
        <v>19</v>
      </c>
      <c r="G64" t="s">
        <v>19</v>
      </c>
      <c r="H64" t="s">
        <v>28</v>
      </c>
      <c r="I64" t="s">
        <v>229</v>
      </c>
      <c r="J64" t="s">
        <v>230</v>
      </c>
      <c r="K64" t="s">
        <v>231</v>
      </c>
      <c r="L64">
        <v>2789</v>
      </c>
      <c r="M64">
        <v>49</v>
      </c>
      <c r="N64">
        <v>1566</v>
      </c>
      <c r="O64" t="s">
        <v>19</v>
      </c>
      <c r="P64">
        <v>3.13</v>
      </c>
      <c r="Q64">
        <v>1</v>
      </c>
    </row>
    <row r="65" spans="1:17" x14ac:dyDescent="0.2">
      <c r="A65" t="s">
        <v>21</v>
      </c>
      <c r="B65" t="s">
        <v>22</v>
      </c>
      <c r="C65" s="1">
        <v>45685.36215277778</v>
      </c>
      <c r="D65" t="s">
        <v>23</v>
      </c>
      <c r="E65" t="s">
        <v>18</v>
      </c>
      <c r="F65" t="s">
        <v>19</v>
      </c>
      <c r="G65" t="s">
        <v>19</v>
      </c>
      <c r="H65" t="s">
        <v>20</v>
      </c>
      <c r="I65" t="s">
        <v>232</v>
      </c>
      <c r="J65" t="s">
        <v>233</v>
      </c>
      <c r="K65" t="s">
        <v>234</v>
      </c>
      <c r="L65">
        <v>2742</v>
      </c>
      <c r="M65">
        <v>57</v>
      </c>
      <c r="N65">
        <v>1455</v>
      </c>
      <c r="O65" t="s">
        <v>19</v>
      </c>
      <c r="P65">
        <v>3.92</v>
      </c>
      <c r="Q65">
        <v>7</v>
      </c>
    </row>
    <row r="66" spans="1:17" x14ac:dyDescent="0.2">
      <c r="A66" t="s">
        <v>21</v>
      </c>
      <c r="B66" t="s">
        <v>22</v>
      </c>
      <c r="C66" s="1">
        <v>45684.312569444446</v>
      </c>
      <c r="D66" t="s">
        <v>17</v>
      </c>
      <c r="E66" t="s">
        <v>18</v>
      </c>
      <c r="F66" t="s">
        <v>19</v>
      </c>
      <c r="G66" t="s">
        <v>19</v>
      </c>
      <c r="H66" t="s">
        <v>20</v>
      </c>
      <c r="I66" t="s">
        <v>235</v>
      </c>
      <c r="J66" t="s">
        <v>236</v>
      </c>
      <c r="K66" t="s">
        <v>237</v>
      </c>
      <c r="L66">
        <v>1432</v>
      </c>
      <c r="M66">
        <v>48</v>
      </c>
      <c r="N66">
        <v>859</v>
      </c>
      <c r="O66" t="s">
        <v>19</v>
      </c>
      <c r="P66">
        <v>5.59</v>
      </c>
      <c r="Q66">
        <v>1</v>
      </c>
    </row>
    <row r="67" spans="1:17" x14ac:dyDescent="0.2">
      <c r="A67" t="s">
        <v>21</v>
      </c>
      <c r="B67" t="s">
        <v>22</v>
      </c>
      <c r="C67" s="1">
        <v>45681.465486111112</v>
      </c>
      <c r="D67" t="s">
        <v>17</v>
      </c>
      <c r="E67" t="s">
        <v>18</v>
      </c>
      <c r="F67" t="s">
        <v>19</v>
      </c>
      <c r="G67" t="s">
        <v>19</v>
      </c>
      <c r="H67" t="s">
        <v>20</v>
      </c>
      <c r="I67" t="s">
        <v>238</v>
      </c>
      <c r="J67" t="s">
        <v>239</v>
      </c>
      <c r="K67" t="s">
        <v>240</v>
      </c>
      <c r="L67">
        <v>5599</v>
      </c>
      <c r="M67">
        <v>114</v>
      </c>
      <c r="N67">
        <v>2511</v>
      </c>
      <c r="O67" t="s">
        <v>19</v>
      </c>
      <c r="P67">
        <v>4.54</v>
      </c>
      <c r="Q67">
        <v>9</v>
      </c>
    </row>
    <row r="68" spans="1:17" x14ac:dyDescent="0.2">
      <c r="A68" t="s">
        <v>21</v>
      </c>
      <c r="B68" t="s">
        <v>22</v>
      </c>
      <c r="C68" s="1">
        <v>45680.313009259262</v>
      </c>
      <c r="D68" t="s">
        <v>66</v>
      </c>
      <c r="E68" t="s">
        <v>18</v>
      </c>
      <c r="F68" t="s">
        <v>19</v>
      </c>
      <c r="G68" t="s">
        <v>19</v>
      </c>
      <c r="H68" t="s">
        <v>20</v>
      </c>
      <c r="I68" t="s">
        <v>246</v>
      </c>
      <c r="J68" t="s">
        <v>247</v>
      </c>
      <c r="K68" t="s">
        <v>248</v>
      </c>
      <c r="L68">
        <v>1384</v>
      </c>
      <c r="M68">
        <v>32</v>
      </c>
      <c r="N68">
        <v>859</v>
      </c>
      <c r="O68" t="s">
        <v>19</v>
      </c>
      <c r="P68">
        <v>3.73</v>
      </c>
      <c r="Q68">
        <v>8</v>
      </c>
    </row>
    <row r="69" spans="1:17" x14ac:dyDescent="0.2">
      <c r="A69" t="s">
        <v>21</v>
      </c>
      <c r="B69" t="s">
        <v>22</v>
      </c>
      <c r="C69" s="1">
        <v>45679.647106481483</v>
      </c>
      <c r="D69" t="s">
        <v>48</v>
      </c>
      <c r="E69" t="s">
        <v>18</v>
      </c>
      <c r="F69" t="s">
        <v>19</v>
      </c>
      <c r="G69" t="s">
        <v>19</v>
      </c>
      <c r="H69" t="s">
        <v>20</v>
      </c>
      <c r="I69" t="s">
        <v>254</v>
      </c>
      <c r="J69" t="s">
        <v>255</v>
      </c>
      <c r="K69" t="s">
        <v>256</v>
      </c>
      <c r="L69">
        <v>1386</v>
      </c>
      <c r="M69">
        <v>22</v>
      </c>
      <c r="N69">
        <v>800</v>
      </c>
      <c r="O69">
        <v>638</v>
      </c>
      <c r="P69">
        <v>2.75</v>
      </c>
      <c r="Q69">
        <v>0</v>
      </c>
    </row>
    <row r="70" spans="1:17" x14ac:dyDescent="0.2">
      <c r="A70" t="s">
        <v>21</v>
      </c>
      <c r="B70" t="s">
        <v>22</v>
      </c>
      <c r="C70" s="1">
        <v>45678.333437499998</v>
      </c>
      <c r="D70" t="s">
        <v>27</v>
      </c>
      <c r="E70" t="s">
        <v>18</v>
      </c>
      <c r="F70" t="s">
        <v>19</v>
      </c>
      <c r="G70" t="s">
        <v>19</v>
      </c>
      <c r="H70" t="s">
        <v>28</v>
      </c>
      <c r="I70" t="s">
        <v>260</v>
      </c>
      <c r="J70" t="s">
        <v>261</v>
      </c>
      <c r="K70" t="s">
        <v>262</v>
      </c>
      <c r="L70">
        <v>499</v>
      </c>
      <c r="M70">
        <v>7</v>
      </c>
      <c r="N70">
        <v>333</v>
      </c>
      <c r="O70" t="s">
        <v>19</v>
      </c>
      <c r="P70">
        <v>2.1</v>
      </c>
      <c r="Q70">
        <v>1</v>
      </c>
    </row>
    <row r="71" spans="1:17" x14ac:dyDescent="0.2">
      <c r="A71" t="s">
        <v>21</v>
      </c>
      <c r="B71" t="s">
        <v>22</v>
      </c>
      <c r="C71" s="1">
        <v>45673.388819444444</v>
      </c>
      <c r="D71" t="s">
        <v>23</v>
      </c>
      <c r="E71" t="s">
        <v>18</v>
      </c>
      <c r="F71" t="s">
        <v>19</v>
      </c>
      <c r="G71" t="s">
        <v>19</v>
      </c>
      <c r="H71" t="s">
        <v>20</v>
      </c>
      <c r="I71" t="s">
        <v>265</v>
      </c>
      <c r="J71" t="s">
        <v>266</v>
      </c>
      <c r="K71" t="s">
        <v>267</v>
      </c>
      <c r="L71">
        <v>1129</v>
      </c>
      <c r="M71">
        <v>12</v>
      </c>
      <c r="N71">
        <v>670</v>
      </c>
      <c r="O71" t="s">
        <v>19</v>
      </c>
      <c r="P71">
        <v>1.79</v>
      </c>
      <c r="Q71">
        <v>0</v>
      </c>
    </row>
    <row r="72" spans="1:17" x14ac:dyDescent="0.2">
      <c r="A72" t="s">
        <v>21</v>
      </c>
      <c r="B72" t="s">
        <v>22</v>
      </c>
      <c r="C72" s="1">
        <v>45673.295231481483</v>
      </c>
      <c r="D72" t="s">
        <v>48</v>
      </c>
      <c r="E72" t="s">
        <v>18</v>
      </c>
      <c r="F72" t="s">
        <v>19</v>
      </c>
      <c r="G72" t="s">
        <v>19</v>
      </c>
      <c r="H72" t="s">
        <v>20</v>
      </c>
      <c r="I72" t="s">
        <v>268</v>
      </c>
      <c r="J72" t="s">
        <v>269</v>
      </c>
      <c r="K72" t="s">
        <v>270</v>
      </c>
      <c r="L72">
        <v>1498</v>
      </c>
      <c r="M72">
        <v>20</v>
      </c>
      <c r="N72">
        <v>874</v>
      </c>
      <c r="O72">
        <v>623</v>
      </c>
      <c r="P72">
        <v>2.29</v>
      </c>
      <c r="Q72">
        <v>2</v>
      </c>
    </row>
    <row r="73" spans="1:17" x14ac:dyDescent="0.2">
      <c r="A73" t="s">
        <v>21</v>
      </c>
      <c r="B73" t="s">
        <v>22</v>
      </c>
      <c r="C73" s="1">
        <v>45672.35261574074</v>
      </c>
      <c r="D73" t="s">
        <v>27</v>
      </c>
      <c r="E73" t="s">
        <v>18</v>
      </c>
      <c r="F73" t="s">
        <v>19</v>
      </c>
      <c r="G73" t="s">
        <v>19</v>
      </c>
      <c r="H73" t="s">
        <v>28</v>
      </c>
      <c r="I73" t="s">
        <v>274</v>
      </c>
      <c r="J73" t="s">
        <v>275</v>
      </c>
      <c r="K73" t="s">
        <v>276</v>
      </c>
      <c r="L73">
        <v>404</v>
      </c>
      <c r="M73">
        <v>5</v>
      </c>
      <c r="N73">
        <v>274</v>
      </c>
      <c r="O73" t="s">
        <v>19</v>
      </c>
      <c r="P73">
        <v>1.82</v>
      </c>
      <c r="Q73">
        <v>0</v>
      </c>
    </row>
    <row r="74" spans="1:17" x14ac:dyDescent="0.2">
      <c r="A74" t="s">
        <v>21</v>
      </c>
      <c r="B74" t="s">
        <v>22</v>
      </c>
      <c r="C74" s="1">
        <v>45671.339432870373</v>
      </c>
      <c r="D74" t="s">
        <v>48</v>
      </c>
      <c r="E74" t="s">
        <v>18</v>
      </c>
      <c r="F74" t="s">
        <v>19</v>
      </c>
      <c r="G74" t="s">
        <v>19</v>
      </c>
      <c r="H74" t="s">
        <v>20</v>
      </c>
      <c r="I74" t="s">
        <v>279</v>
      </c>
      <c r="J74" t="s">
        <v>280</v>
      </c>
      <c r="K74" t="s">
        <v>281</v>
      </c>
      <c r="L74">
        <v>1263</v>
      </c>
      <c r="M74">
        <v>18</v>
      </c>
      <c r="N74">
        <v>751</v>
      </c>
      <c r="O74">
        <v>624</v>
      </c>
      <c r="P74">
        <v>2.4</v>
      </c>
      <c r="Q74">
        <v>2</v>
      </c>
    </row>
    <row r="75" spans="1:17" x14ac:dyDescent="0.2">
      <c r="A75" t="s">
        <v>21</v>
      </c>
      <c r="B75" t="s">
        <v>22</v>
      </c>
      <c r="C75" s="1">
        <v>45666.356377314813</v>
      </c>
      <c r="D75" t="s">
        <v>48</v>
      </c>
      <c r="E75" t="s">
        <v>18</v>
      </c>
      <c r="F75" t="s">
        <v>19</v>
      </c>
      <c r="G75" t="s">
        <v>19</v>
      </c>
      <c r="H75" t="s">
        <v>20</v>
      </c>
      <c r="I75" t="s">
        <v>287</v>
      </c>
      <c r="J75" t="s">
        <v>288</v>
      </c>
      <c r="K75" t="s">
        <v>289</v>
      </c>
      <c r="L75">
        <v>3176</v>
      </c>
      <c r="M75">
        <v>45</v>
      </c>
      <c r="N75">
        <v>1724</v>
      </c>
      <c r="O75">
        <v>1354</v>
      </c>
      <c r="P75">
        <v>2.61</v>
      </c>
      <c r="Q75">
        <v>2</v>
      </c>
    </row>
    <row r="76" spans="1:17" x14ac:dyDescent="0.2">
      <c r="A76" t="s">
        <v>21</v>
      </c>
      <c r="B76" t="s">
        <v>22</v>
      </c>
      <c r="C76" s="1">
        <v>45665.333993055552</v>
      </c>
      <c r="D76" t="s">
        <v>17</v>
      </c>
      <c r="E76" t="s">
        <v>18</v>
      </c>
      <c r="F76" t="s">
        <v>19</v>
      </c>
      <c r="G76" t="s">
        <v>19</v>
      </c>
      <c r="H76" t="s">
        <v>20</v>
      </c>
      <c r="I76" t="s">
        <v>295</v>
      </c>
      <c r="J76" t="s">
        <v>296</v>
      </c>
      <c r="K76" t="s">
        <v>297</v>
      </c>
      <c r="L76">
        <v>1151</v>
      </c>
      <c r="M76">
        <v>23</v>
      </c>
      <c r="N76">
        <v>622</v>
      </c>
      <c r="O76" t="s">
        <v>19</v>
      </c>
      <c r="P76">
        <v>3.7</v>
      </c>
      <c r="Q76">
        <v>5</v>
      </c>
    </row>
    <row r="77" spans="1:17" x14ac:dyDescent="0.2">
      <c r="A77" t="s">
        <v>21</v>
      </c>
      <c r="B77" t="s">
        <v>22</v>
      </c>
      <c r="C77" s="1">
        <v>45663.35565972222</v>
      </c>
      <c r="D77" t="s">
        <v>48</v>
      </c>
      <c r="E77" t="s">
        <v>18</v>
      </c>
      <c r="F77" t="s">
        <v>19</v>
      </c>
      <c r="G77" t="s">
        <v>19</v>
      </c>
      <c r="H77" t="s">
        <v>20</v>
      </c>
      <c r="I77" t="s">
        <v>300</v>
      </c>
      <c r="J77" t="s">
        <v>301</v>
      </c>
      <c r="K77" t="s">
        <v>302</v>
      </c>
      <c r="L77">
        <v>2315</v>
      </c>
      <c r="M77">
        <v>44</v>
      </c>
      <c r="N77">
        <v>1383</v>
      </c>
      <c r="O77">
        <v>1176</v>
      </c>
      <c r="P77">
        <v>3.18</v>
      </c>
      <c r="Q77">
        <v>2</v>
      </c>
    </row>
    <row r="78" spans="1:17" x14ac:dyDescent="0.2">
      <c r="A78" t="s">
        <v>21</v>
      </c>
      <c r="B78" t="s">
        <v>22</v>
      </c>
      <c r="C78" s="1">
        <v>45659.314282407409</v>
      </c>
      <c r="D78" t="s">
        <v>48</v>
      </c>
      <c r="E78" t="s">
        <v>18</v>
      </c>
      <c r="F78" t="s">
        <v>19</v>
      </c>
      <c r="G78" t="s">
        <v>19</v>
      </c>
      <c r="H78" t="s">
        <v>20</v>
      </c>
      <c r="I78" t="s">
        <v>311</v>
      </c>
      <c r="J78" t="s">
        <v>312</v>
      </c>
      <c r="K78" t="s">
        <v>313</v>
      </c>
      <c r="L78">
        <v>1882</v>
      </c>
      <c r="M78">
        <v>33</v>
      </c>
      <c r="N78">
        <v>1013</v>
      </c>
      <c r="O78">
        <v>1031</v>
      </c>
      <c r="P78">
        <v>3.26</v>
      </c>
      <c r="Q78">
        <v>5</v>
      </c>
    </row>
    <row r="79" spans="1:17" x14ac:dyDescent="0.2">
      <c r="A79" t="s">
        <v>318</v>
      </c>
      <c r="C79" s="1"/>
      <c r="L79">
        <f>SUM(L30:L78)</f>
        <v>95226</v>
      </c>
      <c r="M79">
        <f>SUM(M30:M78)</f>
        <v>1828</v>
      </c>
      <c r="N79">
        <f>SUM(N30:N78)</f>
        <v>52309</v>
      </c>
      <c r="O79">
        <f>SUMIF(O30:O78,"&lt;&gt;-")</f>
        <v>16877</v>
      </c>
      <c r="P79">
        <f>AVERAGE(P30:P78)</f>
        <v>3.3532653061224478</v>
      </c>
      <c r="Q79">
        <f>SUM(Q30:Q78)</f>
        <v>233</v>
      </c>
    </row>
    <row r="80" spans="1:17" x14ac:dyDescent="0.2">
      <c r="A80" t="s">
        <v>42</v>
      </c>
      <c r="B80" t="s">
        <v>43</v>
      </c>
      <c r="C80" s="1">
        <v>45742.542048611111</v>
      </c>
      <c r="D80" t="s">
        <v>44</v>
      </c>
      <c r="E80" t="s">
        <v>18</v>
      </c>
      <c r="F80" t="s">
        <v>19</v>
      </c>
      <c r="G80" t="s">
        <v>20</v>
      </c>
      <c r="H80" t="s">
        <v>19</v>
      </c>
      <c r="I80" t="s">
        <v>45</v>
      </c>
      <c r="J80" t="s">
        <v>46</v>
      </c>
      <c r="K80" t="s">
        <v>47</v>
      </c>
      <c r="L80">
        <v>811</v>
      </c>
      <c r="M80">
        <v>6</v>
      </c>
      <c r="N80" t="s">
        <v>19</v>
      </c>
      <c r="O80">
        <v>811</v>
      </c>
      <c r="P80" t="s">
        <v>19</v>
      </c>
      <c r="Q80">
        <v>0</v>
      </c>
    </row>
    <row r="81" spans="1:17" x14ac:dyDescent="0.2">
      <c r="A81" t="s">
        <v>42</v>
      </c>
      <c r="B81" t="s">
        <v>43</v>
      </c>
      <c r="C81" s="1">
        <v>45737.375821759262</v>
      </c>
      <c r="D81" t="s">
        <v>44</v>
      </c>
      <c r="E81" t="s">
        <v>18</v>
      </c>
      <c r="F81" t="s">
        <v>19</v>
      </c>
      <c r="G81" t="s">
        <v>20</v>
      </c>
      <c r="H81" t="s">
        <v>19</v>
      </c>
      <c r="I81" t="s">
        <v>63</v>
      </c>
      <c r="J81" t="s">
        <v>64</v>
      </c>
      <c r="K81" t="s">
        <v>65</v>
      </c>
      <c r="L81">
        <v>55</v>
      </c>
      <c r="M81">
        <v>6</v>
      </c>
      <c r="N81" t="s">
        <v>19</v>
      </c>
      <c r="O81">
        <v>55</v>
      </c>
      <c r="P81" t="s">
        <v>19</v>
      </c>
      <c r="Q81">
        <v>0</v>
      </c>
    </row>
    <row r="82" spans="1:17" x14ac:dyDescent="0.2">
      <c r="A82" t="s">
        <v>42</v>
      </c>
      <c r="B82" t="s">
        <v>43</v>
      </c>
      <c r="C82" s="1">
        <v>45729.374201388891</v>
      </c>
      <c r="D82" t="s">
        <v>44</v>
      </c>
      <c r="E82" t="s">
        <v>18</v>
      </c>
      <c r="F82" t="s">
        <v>19</v>
      </c>
      <c r="G82" t="s">
        <v>20</v>
      </c>
      <c r="H82" t="s">
        <v>19</v>
      </c>
      <c r="I82" t="s">
        <v>91</v>
      </c>
      <c r="J82" t="s">
        <v>92</v>
      </c>
      <c r="K82" t="s">
        <v>93</v>
      </c>
      <c r="L82">
        <v>18</v>
      </c>
      <c r="M82">
        <v>1</v>
      </c>
      <c r="N82" t="s">
        <v>19</v>
      </c>
      <c r="O82">
        <v>18</v>
      </c>
      <c r="P82" t="s">
        <v>19</v>
      </c>
      <c r="Q82">
        <v>1</v>
      </c>
    </row>
    <row r="83" spans="1:17" x14ac:dyDescent="0.2">
      <c r="A83" t="s">
        <v>42</v>
      </c>
      <c r="B83" t="s">
        <v>43</v>
      </c>
      <c r="C83" s="1">
        <v>45729.343842592592</v>
      </c>
      <c r="D83" t="s">
        <v>44</v>
      </c>
      <c r="E83" t="s">
        <v>18</v>
      </c>
      <c r="F83" t="s">
        <v>19</v>
      </c>
      <c r="G83" t="s">
        <v>20</v>
      </c>
      <c r="H83" t="s">
        <v>19</v>
      </c>
      <c r="I83" t="s">
        <v>97</v>
      </c>
      <c r="J83" t="s">
        <v>98</v>
      </c>
      <c r="K83" t="s">
        <v>99</v>
      </c>
      <c r="L83">
        <v>71</v>
      </c>
      <c r="M83">
        <v>7</v>
      </c>
      <c r="N83" t="s">
        <v>19</v>
      </c>
      <c r="O83">
        <v>71</v>
      </c>
      <c r="P83" t="s">
        <v>19</v>
      </c>
      <c r="Q83">
        <v>0</v>
      </c>
    </row>
    <row r="84" spans="1:17" x14ac:dyDescent="0.2">
      <c r="A84" t="s">
        <v>42</v>
      </c>
      <c r="B84" t="s">
        <v>43</v>
      </c>
      <c r="C84" s="1">
        <v>45728.415451388886</v>
      </c>
      <c r="D84" t="s">
        <v>44</v>
      </c>
      <c r="E84" t="s">
        <v>18</v>
      </c>
      <c r="F84" t="s">
        <v>19</v>
      </c>
      <c r="G84" t="s">
        <v>20</v>
      </c>
      <c r="H84" t="s">
        <v>19</v>
      </c>
      <c r="I84" t="s">
        <v>91</v>
      </c>
      <c r="J84" t="s">
        <v>103</v>
      </c>
      <c r="K84" t="s">
        <v>104</v>
      </c>
      <c r="L84">
        <v>4</v>
      </c>
      <c r="M84">
        <v>1</v>
      </c>
      <c r="N84" t="s">
        <v>19</v>
      </c>
      <c r="O84">
        <v>4</v>
      </c>
      <c r="P84" t="s">
        <v>19</v>
      </c>
      <c r="Q84">
        <v>1</v>
      </c>
    </row>
    <row r="85" spans="1:17" x14ac:dyDescent="0.2">
      <c r="A85" t="s">
        <v>42</v>
      </c>
      <c r="B85" t="s">
        <v>43</v>
      </c>
      <c r="C85" s="1">
        <v>45728.412881944445</v>
      </c>
      <c r="D85" t="s">
        <v>44</v>
      </c>
      <c r="E85" t="s">
        <v>18</v>
      </c>
      <c r="F85" t="s">
        <v>19</v>
      </c>
      <c r="G85" t="s">
        <v>20</v>
      </c>
      <c r="H85" t="s">
        <v>19</v>
      </c>
      <c r="I85" t="s">
        <v>91</v>
      </c>
      <c r="J85" t="s">
        <v>105</v>
      </c>
      <c r="K85" t="s">
        <v>106</v>
      </c>
      <c r="L85">
        <v>38</v>
      </c>
      <c r="M85">
        <v>8</v>
      </c>
      <c r="N85" t="s">
        <v>19</v>
      </c>
      <c r="O85">
        <v>38</v>
      </c>
      <c r="P85" t="s">
        <v>19</v>
      </c>
      <c r="Q85">
        <v>8</v>
      </c>
    </row>
    <row r="86" spans="1:17" x14ac:dyDescent="0.2">
      <c r="A86" t="s">
        <v>42</v>
      </c>
      <c r="B86" t="s">
        <v>43</v>
      </c>
      <c r="C86" s="1">
        <v>45728.409895833334</v>
      </c>
      <c r="D86" t="s">
        <v>48</v>
      </c>
      <c r="E86" t="s">
        <v>18</v>
      </c>
      <c r="F86" t="s">
        <v>19</v>
      </c>
      <c r="G86" t="s">
        <v>20</v>
      </c>
      <c r="H86" t="s">
        <v>19</v>
      </c>
      <c r="I86" t="s">
        <v>91</v>
      </c>
      <c r="J86" t="s">
        <v>107</v>
      </c>
      <c r="K86" t="s">
        <v>108</v>
      </c>
      <c r="L86">
        <v>16</v>
      </c>
      <c r="M86">
        <v>1</v>
      </c>
      <c r="N86" t="s">
        <v>19</v>
      </c>
      <c r="O86">
        <v>16</v>
      </c>
      <c r="P86" t="s">
        <v>19</v>
      </c>
      <c r="Q86">
        <v>1</v>
      </c>
    </row>
    <row r="87" spans="1:17" x14ac:dyDescent="0.2">
      <c r="A87" t="s">
        <v>42</v>
      </c>
      <c r="B87" t="s">
        <v>43</v>
      </c>
      <c r="C87" s="1">
        <v>45722.375347222223</v>
      </c>
      <c r="D87" t="s">
        <v>44</v>
      </c>
      <c r="E87" t="s">
        <v>18</v>
      </c>
      <c r="F87" t="s">
        <v>19</v>
      </c>
      <c r="G87" t="s">
        <v>20</v>
      </c>
      <c r="H87" t="s">
        <v>19</v>
      </c>
      <c r="I87" t="s">
        <v>116</v>
      </c>
      <c r="J87" t="s">
        <v>117</v>
      </c>
      <c r="K87" t="s">
        <v>118</v>
      </c>
      <c r="L87">
        <v>53</v>
      </c>
      <c r="M87">
        <v>3</v>
      </c>
      <c r="N87" t="s">
        <v>19</v>
      </c>
      <c r="O87">
        <v>53</v>
      </c>
      <c r="P87" t="s">
        <v>19</v>
      </c>
      <c r="Q87">
        <v>0</v>
      </c>
    </row>
    <row r="88" spans="1:17" x14ac:dyDescent="0.2">
      <c r="A88" t="s">
        <v>42</v>
      </c>
      <c r="B88" t="s">
        <v>43</v>
      </c>
      <c r="C88" s="1">
        <v>45721.416678240741</v>
      </c>
      <c r="D88" t="s">
        <v>44</v>
      </c>
      <c r="E88" t="s">
        <v>18</v>
      </c>
      <c r="F88" t="s">
        <v>19</v>
      </c>
      <c r="G88" t="s">
        <v>20</v>
      </c>
      <c r="H88" t="s">
        <v>19</v>
      </c>
      <c r="I88" t="s">
        <v>124</v>
      </c>
      <c r="J88" t="s">
        <v>125</v>
      </c>
      <c r="K88" t="s">
        <v>126</v>
      </c>
      <c r="L88">
        <v>41</v>
      </c>
      <c r="M88">
        <v>2</v>
      </c>
      <c r="N88" t="s">
        <v>19</v>
      </c>
      <c r="O88">
        <v>41</v>
      </c>
      <c r="P88" t="s">
        <v>19</v>
      </c>
      <c r="Q88">
        <v>1</v>
      </c>
    </row>
    <row r="89" spans="1:17" x14ac:dyDescent="0.2">
      <c r="A89" t="s">
        <v>42</v>
      </c>
      <c r="B89" t="s">
        <v>43</v>
      </c>
      <c r="C89" s="1">
        <v>45716.333854166667</v>
      </c>
      <c r="D89" t="s">
        <v>48</v>
      </c>
      <c r="E89" t="s">
        <v>18</v>
      </c>
      <c r="F89" t="s">
        <v>19</v>
      </c>
      <c r="G89" t="s">
        <v>20</v>
      </c>
      <c r="H89" t="s">
        <v>19</v>
      </c>
      <c r="I89" t="s">
        <v>133</v>
      </c>
      <c r="J89" t="s">
        <v>134</v>
      </c>
      <c r="K89" t="s">
        <v>135</v>
      </c>
      <c r="L89">
        <v>515</v>
      </c>
      <c r="M89">
        <v>14</v>
      </c>
      <c r="N89" t="s">
        <v>19</v>
      </c>
      <c r="O89">
        <v>515</v>
      </c>
      <c r="P89" t="s">
        <v>19</v>
      </c>
      <c r="Q89">
        <v>8</v>
      </c>
    </row>
    <row r="90" spans="1:17" x14ac:dyDescent="0.2">
      <c r="A90" t="s">
        <v>42</v>
      </c>
      <c r="B90" t="s">
        <v>43</v>
      </c>
      <c r="C90" s="1">
        <v>45708.364618055559</v>
      </c>
      <c r="D90" t="s">
        <v>44</v>
      </c>
      <c r="E90" t="s">
        <v>18</v>
      </c>
      <c r="F90" t="s">
        <v>19</v>
      </c>
      <c r="G90" t="s">
        <v>20</v>
      </c>
      <c r="H90" t="s">
        <v>19</v>
      </c>
      <c r="I90" t="s">
        <v>149</v>
      </c>
      <c r="J90" t="s">
        <v>150</v>
      </c>
      <c r="K90" t="s">
        <v>151</v>
      </c>
      <c r="L90">
        <v>282</v>
      </c>
      <c r="M90">
        <v>2</v>
      </c>
      <c r="N90" t="s">
        <v>19</v>
      </c>
      <c r="O90">
        <v>282</v>
      </c>
      <c r="P90" t="s">
        <v>19</v>
      </c>
      <c r="Q90">
        <v>1</v>
      </c>
    </row>
    <row r="91" spans="1:17" x14ac:dyDescent="0.2">
      <c r="A91" t="s">
        <v>42</v>
      </c>
      <c r="B91" t="s">
        <v>43</v>
      </c>
      <c r="C91" s="1">
        <v>45705.375162037039</v>
      </c>
      <c r="D91" t="s">
        <v>44</v>
      </c>
      <c r="E91" t="s">
        <v>18</v>
      </c>
      <c r="F91" t="s">
        <v>19</v>
      </c>
      <c r="G91" t="s">
        <v>20</v>
      </c>
      <c r="H91" t="s">
        <v>19</v>
      </c>
      <c r="I91" t="s">
        <v>158</v>
      </c>
      <c r="J91" t="s">
        <v>159</v>
      </c>
      <c r="K91" t="s">
        <v>160</v>
      </c>
      <c r="L91">
        <v>28</v>
      </c>
      <c r="M91">
        <v>2</v>
      </c>
      <c r="N91" t="s">
        <v>19</v>
      </c>
      <c r="O91">
        <v>28</v>
      </c>
      <c r="P91" t="s">
        <v>19</v>
      </c>
      <c r="Q91">
        <v>0</v>
      </c>
    </row>
    <row r="92" spans="1:17" x14ac:dyDescent="0.2">
      <c r="A92" t="s">
        <v>42</v>
      </c>
      <c r="B92" t="s">
        <v>43</v>
      </c>
      <c r="C92" s="1">
        <v>45701.458761574075</v>
      </c>
      <c r="D92" t="s">
        <v>44</v>
      </c>
      <c r="E92" t="s">
        <v>18</v>
      </c>
      <c r="F92" t="s">
        <v>19</v>
      </c>
      <c r="G92" t="s">
        <v>20</v>
      </c>
      <c r="H92" t="s">
        <v>19</v>
      </c>
      <c r="I92" t="s">
        <v>164</v>
      </c>
      <c r="J92" t="s">
        <v>165</v>
      </c>
      <c r="K92" t="s">
        <v>166</v>
      </c>
      <c r="L92">
        <v>326</v>
      </c>
      <c r="M92">
        <v>6</v>
      </c>
      <c r="N92" t="s">
        <v>19</v>
      </c>
      <c r="O92">
        <v>326</v>
      </c>
      <c r="P92" t="s">
        <v>19</v>
      </c>
      <c r="Q92">
        <v>1</v>
      </c>
    </row>
    <row r="93" spans="1:17" x14ac:dyDescent="0.2">
      <c r="A93" t="s">
        <v>42</v>
      </c>
      <c r="B93" t="s">
        <v>43</v>
      </c>
      <c r="C93" s="1">
        <v>45700.306712962964</v>
      </c>
      <c r="D93" t="s">
        <v>48</v>
      </c>
      <c r="E93" t="s">
        <v>18</v>
      </c>
      <c r="F93" t="s">
        <v>19</v>
      </c>
      <c r="G93" t="s">
        <v>20</v>
      </c>
      <c r="H93" t="s">
        <v>19</v>
      </c>
      <c r="I93" t="s">
        <v>172</v>
      </c>
      <c r="J93" t="s">
        <v>173</v>
      </c>
      <c r="K93" t="s">
        <v>174</v>
      </c>
      <c r="L93">
        <v>149</v>
      </c>
      <c r="M93">
        <v>14</v>
      </c>
      <c r="N93" t="s">
        <v>19</v>
      </c>
      <c r="O93">
        <v>149</v>
      </c>
      <c r="P93" t="s">
        <v>19</v>
      </c>
      <c r="Q93">
        <v>9</v>
      </c>
    </row>
    <row r="94" spans="1:17" x14ac:dyDescent="0.2">
      <c r="A94" t="s">
        <v>42</v>
      </c>
      <c r="B94" t="s">
        <v>43</v>
      </c>
      <c r="C94" s="1">
        <v>45699.33353009259</v>
      </c>
      <c r="D94" t="s">
        <v>44</v>
      </c>
      <c r="E94" t="s">
        <v>18</v>
      </c>
      <c r="F94" t="s">
        <v>19</v>
      </c>
      <c r="G94" t="s">
        <v>20</v>
      </c>
      <c r="H94" t="s">
        <v>19</v>
      </c>
      <c r="I94" t="s">
        <v>180</v>
      </c>
      <c r="J94" t="s">
        <v>181</v>
      </c>
      <c r="K94" t="s">
        <v>182</v>
      </c>
      <c r="L94">
        <v>608</v>
      </c>
      <c r="M94">
        <v>13</v>
      </c>
      <c r="N94" t="s">
        <v>19</v>
      </c>
      <c r="O94">
        <v>608</v>
      </c>
      <c r="P94" t="s">
        <v>19</v>
      </c>
      <c r="Q94">
        <v>0</v>
      </c>
    </row>
    <row r="95" spans="1:17" x14ac:dyDescent="0.2">
      <c r="A95" t="s">
        <v>42</v>
      </c>
      <c r="B95" t="s">
        <v>43</v>
      </c>
      <c r="C95" s="1">
        <v>45698.395844907405</v>
      </c>
      <c r="D95" t="s">
        <v>44</v>
      </c>
      <c r="E95" t="s">
        <v>18</v>
      </c>
      <c r="F95" t="s">
        <v>19</v>
      </c>
      <c r="G95" t="s">
        <v>20</v>
      </c>
      <c r="H95" t="s">
        <v>19</v>
      </c>
      <c r="I95" t="s">
        <v>188</v>
      </c>
      <c r="J95" t="s">
        <v>189</v>
      </c>
      <c r="K95" t="s">
        <v>190</v>
      </c>
      <c r="L95">
        <v>51</v>
      </c>
      <c r="M95">
        <v>0</v>
      </c>
      <c r="N95" t="s">
        <v>19</v>
      </c>
      <c r="O95">
        <v>51</v>
      </c>
      <c r="P95" t="s">
        <v>19</v>
      </c>
      <c r="Q95">
        <v>0</v>
      </c>
    </row>
    <row r="96" spans="1:17" x14ac:dyDescent="0.2">
      <c r="A96" t="s">
        <v>42</v>
      </c>
      <c r="B96" t="s">
        <v>43</v>
      </c>
      <c r="C96" s="1">
        <v>45694.375740740739</v>
      </c>
      <c r="D96" t="s">
        <v>44</v>
      </c>
      <c r="E96" t="s">
        <v>18</v>
      </c>
      <c r="F96" t="s">
        <v>19</v>
      </c>
      <c r="G96" t="s">
        <v>20</v>
      </c>
      <c r="H96" t="s">
        <v>19</v>
      </c>
      <c r="I96" t="s">
        <v>193</v>
      </c>
      <c r="J96" t="s">
        <v>194</v>
      </c>
      <c r="K96" t="s">
        <v>195</v>
      </c>
      <c r="L96">
        <v>22</v>
      </c>
      <c r="M96">
        <v>1</v>
      </c>
      <c r="N96" t="s">
        <v>19</v>
      </c>
      <c r="O96">
        <v>22</v>
      </c>
      <c r="P96" t="s">
        <v>19</v>
      </c>
      <c r="Q96">
        <v>0</v>
      </c>
    </row>
    <row r="97" spans="1:17" x14ac:dyDescent="0.2">
      <c r="A97" t="s">
        <v>42</v>
      </c>
      <c r="B97" t="s">
        <v>43</v>
      </c>
      <c r="C97" s="1">
        <v>45694.333703703705</v>
      </c>
      <c r="D97" t="s">
        <v>44</v>
      </c>
      <c r="E97" t="s">
        <v>18</v>
      </c>
      <c r="F97" t="s">
        <v>19</v>
      </c>
      <c r="G97" t="s">
        <v>20</v>
      </c>
      <c r="H97" t="s">
        <v>19</v>
      </c>
      <c r="I97" t="s">
        <v>199</v>
      </c>
      <c r="J97" t="s">
        <v>200</v>
      </c>
      <c r="K97" t="s">
        <v>201</v>
      </c>
      <c r="L97">
        <v>5</v>
      </c>
      <c r="M97">
        <v>0</v>
      </c>
      <c r="N97" t="s">
        <v>19</v>
      </c>
      <c r="O97">
        <v>5</v>
      </c>
      <c r="P97" t="s">
        <v>19</v>
      </c>
      <c r="Q97">
        <v>0</v>
      </c>
    </row>
    <row r="98" spans="1:17" x14ac:dyDescent="0.2">
      <c r="A98" t="s">
        <v>42</v>
      </c>
      <c r="B98" t="s">
        <v>43</v>
      </c>
      <c r="C98" s="1">
        <v>45687.289317129631</v>
      </c>
      <c r="D98" t="s">
        <v>44</v>
      </c>
      <c r="E98" t="s">
        <v>18</v>
      </c>
      <c r="F98" t="s">
        <v>19</v>
      </c>
      <c r="G98" t="s">
        <v>20</v>
      </c>
      <c r="H98" t="s">
        <v>19</v>
      </c>
      <c r="I98" t="s">
        <v>224</v>
      </c>
      <c r="J98" t="s">
        <v>225</v>
      </c>
      <c r="K98" t="s">
        <v>226</v>
      </c>
      <c r="L98">
        <v>850</v>
      </c>
      <c r="M98">
        <v>22</v>
      </c>
      <c r="N98" t="s">
        <v>19</v>
      </c>
      <c r="O98">
        <v>850</v>
      </c>
      <c r="P98" t="s">
        <v>19</v>
      </c>
      <c r="Q98">
        <v>9</v>
      </c>
    </row>
    <row r="99" spans="1:17" x14ac:dyDescent="0.2">
      <c r="A99" t="s">
        <v>42</v>
      </c>
      <c r="B99" t="s">
        <v>43</v>
      </c>
      <c r="C99" s="1">
        <v>45680.350370370368</v>
      </c>
      <c r="D99" t="s">
        <v>44</v>
      </c>
      <c r="E99" t="s">
        <v>18</v>
      </c>
      <c r="F99" t="s">
        <v>19</v>
      </c>
      <c r="G99" t="s">
        <v>20</v>
      </c>
      <c r="H99" t="s">
        <v>19</v>
      </c>
      <c r="I99" t="s">
        <v>243</v>
      </c>
      <c r="J99" t="s">
        <v>244</v>
      </c>
      <c r="K99" t="s">
        <v>245</v>
      </c>
      <c r="L99">
        <v>1</v>
      </c>
      <c r="M99">
        <v>0</v>
      </c>
      <c r="N99" t="s">
        <v>19</v>
      </c>
      <c r="O99">
        <v>1</v>
      </c>
      <c r="P99" t="s">
        <v>19</v>
      </c>
      <c r="Q99">
        <v>0</v>
      </c>
    </row>
    <row r="100" spans="1:17" x14ac:dyDescent="0.2">
      <c r="A100" t="s">
        <v>42</v>
      </c>
      <c r="B100" t="s">
        <v>43</v>
      </c>
      <c r="C100" s="1">
        <v>45680.295428240737</v>
      </c>
      <c r="D100" t="s">
        <v>44</v>
      </c>
      <c r="E100" t="s">
        <v>18</v>
      </c>
      <c r="F100" t="s">
        <v>19</v>
      </c>
      <c r="G100" t="s">
        <v>20</v>
      </c>
      <c r="H100" t="s">
        <v>19</v>
      </c>
      <c r="I100" t="s">
        <v>249</v>
      </c>
      <c r="J100" t="s">
        <v>250</v>
      </c>
      <c r="K100" t="s">
        <v>251</v>
      </c>
      <c r="L100">
        <v>1001</v>
      </c>
      <c r="M100">
        <v>9</v>
      </c>
      <c r="N100" t="s">
        <v>19</v>
      </c>
      <c r="O100">
        <v>1001</v>
      </c>
      <c r="P100" t="s">
        <v>19</v>
      </c>
      <c r="Q100">
        <v>5</v>
      </c>
    </row>
    <row r="101" spans="1:17" x14ac:dyDescent="0.2">
      <c r="A101" t="s">
        <v>42</v>
      </c>
      <c r="B101" t="s">
        <v>43</v>
      </c>
      <c r="C101" s="1">
        <v>45679.250219907408</v>
      </c>
      <c r="D101" t="s">
        <v>48</v>
      </c>
      <c r="E101" t="s">
        <v>18</v>
      </c>
      <c r="F101" t="s">
        <v>19</v>
      </c>
      <c r="G101" t="s">
        <v>20</v>
      </c>
      <c r="H101" t="s">
        <v>19</v>
      </c>
      <c r="I101" t="s">
        <v>257</v>
      </c>
      <c r="J101" t="s">
        <v>258</v>
      </c>
      <c r="K101" t="s">
        <v>259</v>
      </c>
      <c r="L101">
        <v>1630</v>
      </c>
      <c r="M101">
        <v>29</v>
      </c>
      <c r="N101" t="s">
        <v>19</v>
      </c>
      <c r="O101">
        <v>1630</v>
      </c>
      <c r="P101" t="s">
        <v>19</v>
      </c>
      <c r="Q101">
        <v>18</v>
      </c>
    </row>
    <row r="102" spans="1:17" x14ac:dyDescent="0.2">
      <c r="A102" t="s">
        <v>42</v>
      </c>
      <c r="B102" t="s">
        <v>43</v>
      </c>
      <c r="C102" s="1">
        <v>45673.293900462966</v>
      </c>
      <c r="D102" t="s">
        <v>44</v>
      </c>
      <c r="E102" t="s">
        <v>18</v>
      </c>
      <c r="F102" t="s">
        <v>19</v>
      </c>
      <c r="G102" t="s">
        <v>20</v>
      </c>
      <c r="H102" t="s">
        <v>19</v>
      </c>
      <c r="I102" t="s">
        <v>271</v>
      </c>
      <c r="J102" t="s">
        <v>272</v>
      </c>
      <c r="K102" t="s">
        <v>273</v>
      </c>
      <c r="L102">
        <v>48</v>
      </c>
      <c r="M102">
        <v>0</v>
      </c>
      <c r="N102" t="s">
        <v>19</v>
      </c>
      <c r="O102">
        <v>48</v>
      </c>
      <c r="P102" t="s">
        <v>19</v>
      </c>
      <c r="Q102">
        <v>0</v>
      </c>
    </row>
    <row r="103" spans="1:17" x14ac:dyDescent="0.2">
      <c r="A103" t="s">
        <v>42</v>
      </c>
      <c r="B103" t="s">
        <v>43</v>
      </c>
      <c r="C103" s="1">
        <v>45671.292280092595</v>
      </c>
      <c r="D103" t="s">
        <v>44</v>
      </c>
      <c r="E103" t="s">
        <v>18</v>
      </c>
      <c r="F103" t="s">
        <v>19</v>
      </c>
      <c r="G103" t="s">
        <v>20</v>
      </c>
      <c r="H103" t="s">
        <v>19</v>
      </c>
      <c r="I103" t="s">
        <v>282</v>
      </c>
      <c r="J103" t="s">
        <v>283</v>
      </c>
      <c r="K103" t="s">
        <v>284</v>
      </c>
      <c r="L103">
        <v>527</v>
      </c>
      <c r="M103">
        <v>8</v>
      </c>
      <c r="N103" t="s">
        <v>19</v>
      </c>
      <c r="O103">
        <v>527</v>
      </c>
      <c r="P103" t="s">
        <v>19</v>
      </c>
      <c r="Q103">
        <v>0</v>
      </c>
    </row>
    <row r="104" spans="1:17" x14ac:dyDescent="0.2">
      <c r="A104" t="s">
        <v>42</v>
      </c>
      <c r="B104" t="s">
        <v>43</v>
      </c>
      <c r="C104" s="1">
        <v>45666.33425925926</v>
      </c>
      <c r="D104" t="s">
        <v>44</v>
      </c>
      <c r="E104" t="s">
        <v>18</v>
      </c>
      <c r="F104" t="s">
        <v>19</v>
      </c>
      <c r="G104" t="s">
        <v>20</v>
      </c>
      <c r="H104" t="s">
        <v>19</v>
      </c>
      <c r="I104" t="s">
        <v>290</v>
      </c>
      <c r="J104" t="s">
        <v>291</v>
      </c>
      <c r="K104" t="s">
        <v>292</v>
      </c>
      <c r="L104">
        <v>65</v>
      </c>
      <c r="M104">
        <v>1</v>
      </c>
      <c r="N104" t="s">
        <v>19</v>
      </c>
      <c r="O104">
        <v>65</v>
      </c>
      <c r="P104" t="s">
        <v>19</v>
      </c>
      <c r="Q104">
        <v>0</v>
      </c>
    </row>
    <row r="105" spans="1:17" x14ac:dyDescent="0.2">
      <c r="A105" t="s">
        <v>42</v>
      </c>
      <c r="B105" t="s">
        <v>43</v>
      </c>
      <c r="C105" s="1">
        <v>45663.354618055557</v>
      </c>
      <c r="D105" t="s">
        <v>44</v>
      </c>
      <c r="E105" t="s">
        <v>18</v>
      </c>
      <c r="F105" t="s">
        <v>19</v>
      </c>
      <c r="G105" t="s">
        <v>20</v>
      </c>
      <c r="H105" t="s">
        <v>19</v>
      </c>
      <c r="I105" t="s">
        <v>303</v>
      </c>
      <c r="J105" t="s">
        <v>304</v>
      </c>
      <c r="K105" t="s">
        <v>305</v>
      </c>
      <c r="L105">
        <v>189</v>
      </c>
      <c r="M105">
        <v>3</v>
      </c>
      <c r="N105" t="s">
        <v>19</v>
      </c>
      <c r="O105">
        <v>189</v>
      </c>
      <c r="P105" t="s">
        <v>19</v>
      </c>
      <c r="Q105">
        <v>0</v>
      </c>
    </row>
    <row r="106" spans="1:17" x14ac:dyDescent="0.2">
      <c r="A106" t="s">
        <v>42</v>
      </c>
      <c r="B106" t="s">
        <v>43</v>
      </c>
      <c r="C106" s="1">
        <v>45659.377314814818</v>
      </c>
      <c r="D106" t="s">
        <v>48</v>
      </c>
      <c r="E106" t="s">
        <v>18</v>
      </c>
      <c r="F106" t="s">
        <v>19</v>
      </c>
      <c r="G106" t="s">
        <v>20</v>
      </c>
      <c r="H106" t="s">
        <v>19</v>
      </c>
      <c r="I106" t="s">
        <v>308</v>
      </c>
      <c r="J106" t="s">
        <v>309</v>
      </c>
      <c r="K106" t="s">
        <v>310</v>
      </c>
      <c r="L106">
        <v>64</v>
      </c>
      <c r="M106">
        <v>7</v>
      </c>
      <c r="N106" t="s">
        <v>19</v>
      </c>
      <c r="O106">
        <v>64</v>
      </c>
      <c r="P106" t="s">
        <v>19</v>
      </c>
      <c r="Q106">
        <v>7</v>
      </c>
    </row>
    <row r="107" spans="1:17" x14ac:dyDescent="0.2">
      <c r="A107" t="s">
        <v>42</v>
      </c>
      <c r="B107" t="s">
        <v>43</v>
      </c>
      <c r="C107" s="1">
        <v>45659.312847222223</v>
      </c>
      <c r="D107" t="s">
        <v>44</v>
      </c>
      <c r="E107" t="s">
        <v>18</v>
      </c>
      <c r="F107" t="s">
        <v>19</v>
      </c>
      <c r="G107" t="s">
        <v>20</v>
      </c>
      <c r="H107" t="s">
        <v>19</v>
      </c>
      <c r="I107" t="s">
        <v>314</v>
      </c>
      <c r="J107" t="s">
        <v>315</v>
      </c>
      <c r="K107" t="s">
        <v>316</v>
      </c>
      <c r="L107">
        <v>44</v>
      </c>
      <c r="M107">
        <v>0</v>
      </c>
      <c r="N107" t="s">
        <v>19</v>
      </c>
      <c r="O107">
        <v>44</v>
      </c>
      <c r="P107" t="s">
        <v>19</v>
      </c>
      <c r="Q107">
        <v>0</v>
      </c>
    </row>
    <row r="108" spans="1:17" x14ac:dyDescent="0.2">
      <c r="A108" t="s">
        <v>319</v>
      </c>
      <c r="L108">
        <f>SUM(L80:L107)</f>
        <v>7512</v>
      </c>
      <c r="M108">
        <f>SUM(M80:M107)</f>
        <v>166</v>
      </c>
      <c r="N108">
        <f>SUMIF(N80:N107,"&lt;&gt;-")</f>
        <v>0</v>
      </c>
      <c r="O108">
        <f>SUM(O80:O107)</f>
        <v>7512</v>
      </c>
      <c r="P108" t="str">
        <f>IFERROR(AVERAGE(P80:P107),"-")</f>
        <v>-</v>
      </c>
      <c r="Q108">
        <f>SUM(Q80:Q107)</f>
        <v>70</v>
      </c>
    </row>
  </sheetData>
  <sortState xmlns:xlrd2="http://schemas.microsoft.com/office/spreadsheetml/2017/richdata2" ref="A2:Q107">
    <sortCondition ref="A2:A10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performq125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 E. Smith</cp:lastModifiedBy>
  <dcterms:created xsi:type="dcterms:W3CDTF">2026-04-24T21:16:50Z</dcterms:created>
  <dcterms:modified xsi:type="dcterms:W3CDTF">2026-04-24T21:20:51Z</dcterms:modified>
</cp:coreProperties>
</file>