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esmith/Desktop/"/>
    </mc:Choice>
  </mc:AlternateContent>
  <xr:revisionPtr revIDLastSave="0" documentId="13_ncr:1_{1520909E-A294-A641-BAE5-B45ABAB45FA9}" xr6:coauthVersionLast="47" xr6:coauthVersionMax="47" xr10:uidLastSave="{00000000-0000-0000-0000-000000000000}"/>
  <bookViews>
    <workbookView xWindow="-18020" yWindow="-21100" windowWidth="28040" windowHeight="17440" xr2:uid="{B2ED0E61-AFD8-764E-9D6A-7FCA4AC1E9D0}"/>
  </bookViews>
  <sheets>
    <sheet name="02_Content performance_Cont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7" i="1" l="1"/>
  <c r="P36" i="1"/>
  <c r="P94" i="1"/>
  <c r="Q94" i="1"/>
  <c r="O94" i="1"/>
  <c r="N94" i="1"/>
  <c r="M94" i="1"/>
  <c r="L94" i="1"/>
  <c r="Q77" i="1"/>
  <c r="O77" i="1"/>
  <c r="N77" i="1"/>
  <c r="M77" i="1"/>
  <c r="L77" i="1"/>
  <c r="Q36" i="1"/>
  <c r="O36" i="1"/>
  <c r="N36" i="1"/>
  <c r="M36" i="1"/>
  <c r="L36" i="1"/>
</calcChain>
</file>

<file path=xl/sharedStrings.xml><?xml version="1.0" encoding="utf-8"?>
<sst xmlns="http://schemas.openxmlformats.org/spreadsheetml/2006/main" count="989" uniqueCount="274">
  <si>
    <t>Network</t>
  </si>
  <si>
    <t>Page Name</t>
  </si>
  <si>
    <t>Published time (America/Los_Angeles)</t>
  </si>
  <si>
    <t>Post Type</t>
  </si>
  <si>
    <t>Placement</t>
  </si>
  <si>
    <t>Dark</t>
  </si>
  <si>
    <t>Promoted</t>
  </si>
  <si>
    <t>Reshare</t>
  </si>
  <si>
    <t>Post text</t>
  </si>
  <si>
    <t>Post URL</t>
  </si>
  <si>
    <t>Post ID</t>
  </si>
  <si>
    <t>Impressions</t>
  </si>
  <si>
    <t>Engagements</t>
  </si>
  <si>
    <t>Reach</t>
  </si>
  <si>
    <t>Video views</t>
  </si>
  <si>
    <t>Engagement rate (reach)</t>
  </si>
  <si>
    <t>Shares</t>
  </si>
  <si>
    <t>IMAGE</t>
  </si>
  <si>
    <t>Timeline</t>
  </si>
  <si>
    <t>-</t>
  </si>
  <si>
    <t>No</t>
  </si>
  <si>
    <t>Impact Networking</t>
  </si>
  <si>
    <t>YOUTUBE</t>
  </si>
  <si>
    <t>Impact My Biz</t>
  </si>
  <si>
    <t>SHORT</t>
  </si>
  <si>
    <t>Workplace chaos doesn‚Äôt look the same for every company.  Where do you stand compared to your competitors?   Our Reality of Business Technology Adoption report breaks down how companies really feel about tech adoption and what they‚Äôre doing about it. Check it out at https://hubs.ly/Q048wHx_0</t>
  </si>
  <si>
    <t>https://www.youtube.com/shorts/tAGvmJK459I</t>
  </si>
  <si>
    <t>tAGvmJK459I</t>
  </si>
  <si>
    <t>INSTAGRAM</t>
  </si>
  <si>
    <t>REELS</t>
  </si>
  <si>
    <t>Workplace chaos doesn‚Äôt look the same for every company.  Where do you stand compared to your competitors?   Our Reality of Business Technology Adoption report breaks down how companies really feel about tech adoption and what they‚Äôre doing about it.   Check it out in our bio. üîó‚§¥Ô∏è</t>
  </si>
  <si>
    <t>https://www.instagram.com/reel/DWW3KKDFT_B/</t>
  </si>
  <si>
    <t>LINKEDIN</t>
  </si>
  <si>
    <t>Impact Networking, LLC</t>
  </si>
  <si>
    <t>VIDEO</t>
  </si>
  <si>
    <t>Workplace chaos doesn‚Äôt look the same for every company.  For some teams, productivity gets buried under a mountain of tools \(and 17 logins\). For others, it‚Äôs outdated systems, constant workarounds, and tech that can‚Äôt keep up with the business.  So where do you stand compared to your competitors?   Our Reality of Business Technology Adoption report breaks down how companies really feel about tech adoption and what they‚Äôre doing about it.  Check it out at https://hubs.ly/Q048tVK-0</t>
  </si>
  <si>
    <t>https://www.linkedin.com/feed/update/urn:li:ugcPost:7442956541302824961</t>
  </si>
  <si>
    <t>urn:li:ugcPost:7442956541302824961</t>
  </si>
  <si>
    <t>LINK</t>
  </si>
  <si>
    <t>The latest edition of The Edge is here! ‚ö°  Here‚Äôs what you‚Äôll find inside this month:  üî∫ What makes technology truly disruptive and how to spot it early üî∫ How to build a smarter response plan before a data breach happens üî∫ A real-world look at a MSP partnership and what growth can look like with the right support  Want insights like these delivered monthly?  Subscribe to The Edge ‚¨áÔ∏è  {hashtag|\#|BusinessNewsletter} {hashtag|\#|TechNewsletter} {hashtag|\#|BusinessTechnology}</t>
  </si>
  <si>
    <t>https://www.linkedin.com/feed/update/urn:li:ugcPost:7442612671696515072</t>
  </si>
  <si>
    <t>urn:li:ugcPost:7442612671696515072</t>
  </si>
  <si>
    <t>A managed services partnership is not a one-and-done decision. It can affect your business every day, shaping your team‚Äôs workload, your time, and your ability to plan for what is next.  Join us TODAY as Juan Valerio, CEO of Mi Coste√±ita, shares the lessons his team learned from partnering with an MSP.  If you have been weighing whether to bring on an MSP, or quietly wondering if your current provider is doing enough, this session is a chance to hear from someone who has been in your seat.  Save your spot for today‚Äôs webinar at 10 a.m. CST at the link in our bio. üîó‚§¥Ô∏è  #ClientStory #MSP</t>
  </si>
  <si>
    <t>https://www.instagram.com/reel/DWT81pxABd0/</t>
  </si>
  <si>
    <t>A managed services partnership is not a one-and-done decision. It can affect your business every day, shaping your team‚Äôs workload, your time, and your ability to plan for what is next.  Join us TODAY as Juan Valerio, CEO of Mi Coste√±ita, shares the lessons his team learned from partnering with an MSP.  If you have been weighing whether to bring on an MSP, or quietly wondering if your current provider is doing enough, this session is a chance to hear from someone who has been in your seat.  Save your spot for today‚Äôs webinar at 10 a.m. CST  üëâ  https://hubs.ly/Q04897Rx0  {hashtag|\#|ClientStory} {hashtag|\#|MSP}</t>
  </si>
  <si>
    <t>https://www.linkedin.com/feed/update/urn:li:ugcPost:7442586861673275392</t>
  </si>
  <si>
    <t>urn:li:ugcPost:7442586861673275392</t>
  </si>
  <si>
    <t>A managed services partnership is not a one-and-done decision. It can affect your business every day, shaping your team‚Äôs workload, your time, and your ability to plan for what is next.  Join us TODAY as Juan Valerio, CEO of Mi Coste√±ita, shares the lessons his team learned from partnering with an MSP.  If you have been weighing whether to bring on an MSP, or quietly wondering if your current provider is doing enough, this session is a chance to hear from someone who has been in your seat.  Save your spot for today‚Äôs webinar at 10 a.m. CST  üëâ  https://hubs.ly/Q0489bq60  #ClientStory #MSP</t>
  </si>
  <si>
    <t>https://www.youtube.com/shorts/UmHeIGADnPk</t>
  </si>
  <si>
    <t>UmHeIGADnPk</t>
  </si>
  <si>
    <t>Nothing kills confidence in a new partnership faster than poor communication.   A Customer Experience Manager brings structure, visibility, and follow-through, helping ensure work gets done, priorities stay aligned, and your team can stay focused on bigger-picture strategy.   When you work with Impact, you are not left wondering what is happening behind the scenes.   Learn more about what successful customer experience looks like at https://hubs.ly/Q047NF8H0  {hashtag|\#|CustomerExperience} {hashtag|\#|ClientSuccess} {hashtag|\#|SuccessStory}</t>
  </si>
  <si>
    <t>https://www.linkedin.com/feed/update/urn:li:ugcPost:7441862185112465408</t>
  </si>
  <si>
    <t>urn:li:ugcPost:7441862185112465408</t>
  </si>
  <si>
    <t>Nothing kills confidence in a new partnership faster than poor communication.   A Customer Experience Manager brings structure, visibility, and follow-through, helping ensure work gets done, priorities stay aligned, and your team can stay focused on bigger-picture strategy.   When you work with Impact, you are not left wondering what is happening behind the scenes.   Learn more about what successful customer experience looks like at https://hubs.ly/Q047NTTy0  #CustomerExperience #ClientSuccess #SuccessStory</t>
  </si>
  <si>
    <t>https://www.youtube.com/shorts/2uDL7-JIRgo</t>
  </si>
  <si>
    <t>2uDL7-JIRgo</t>
  </si>
  <si>
    <t>Nothing kills confidence in a new partnership faster than poor communication.   A Customer Experience Manager brings structure, visibility, and follow-through, helping ensure work gets done, priorities stay aligned, and your team can stay focused on bigger-picture strategy.   When you work with Impact, you are not left wondering what is happening behind the scenes.   Learn more about what successful customer experience looks like at the link in our bio! üîó‚§¥Ô∏è  #CustomerExperience #ClientSuccess #SuccessStory</t>
  </si>
  <si>
    <t>https://www.instagram.com/reel/DWOlhCDFfud/</t>
  </si>
  <si>
    <t>When #security and #compliance stakes are high, Microsoft 365 GCC High is built to meet the moment... especially for organizations handling government data.  With advanced security, dedicated U.S.-based infrastructure, and access limited to eligible organizations, GCC High supports complex compliance needs while keeping familiar tools like Teams, SharePoint, and OneDrive in the mix.  #CyberSec</t>
  </si>
  <si>
    <t>https://www.instagram.com/reel/DWFGZsxkc_1/</t>
  </si>
  <si>
    <t>When #security and #compliance stakes are high, Microsoft 365 GCC High is built to meet the moment... especially for organizations handling government data.  With advanced security, dedicated U.S.-based infrastructure, and access limited to eligible organizations, GCC High supports complex compliance needs while keeping familiar tools like Teams, SharePoint, and OneDrive in the mix.  Learn how GCC High can help organizations meet complex compliance standards in our blog at https://hubs.ly/Q046L_Q00  #CyberSec</t>
  </si>
  <si>
    <t>https://www.youtube.com/shorts/FrsU79uUNwA</t>
  </si>
  <si>
    <t>FrsU79uUNwA</t>
  </si>
  <si>
    <t>When {hashtag|\#|security} and {hashtag|\#|compliance} stakes are high, Microsoft 365 GCC High is built to meet the moment... especially for organizations handling government data.  With advanced security, dedicated U.S.-based infrastructure, and access limited to eligible organizations, GCC High supports complex compliance needs while keeping familiar tools like Teams, SharePoint, and OneDrive in the mix.  Access to Microsoft GCC High is limited to organizations that meet specific eligibility requirements, helping ensure this secure cloud environment is reserved for approved entities. Eligible organizations may include: üî∫ Government entities üî∫ Government contractors üî∫ Organizations handling controlled unclassified information \(CUI\) üî∫ Certain non-governmental organizations and educational institutions  Learn how GCC High can help organizations meet complex compliance standards in our blog at https://hubs.ly/Q046M04K0  {hashtag|\#|CyberSec}</t>
  </si>
  <si>
    <t>https://www.linkedin.com/feed/update/urn:li:ugcPost:7440431595146272768</t>
  </si>
  <si>
    <t>urn:li:ugcPost:7440431595146272768</t>
  </si>
  <si>
    <t>A managed service deal isn't a one-and-done decision.  It's something that will affect your business almost every day, impacting your team, time, and ability to plan for what's next.  Join us as Juan Valerio, CEO of Mi Coste√±ita, walks through the lessons his team learned from partnering with an MSP.  If you‚Äôre on the fence about bringing on an MSP (or quietly wondering if your current partner is doing enough), this session is a chance to hear from someone who has been in your seat.  Save your spot for this exclusive webinar on March 25th at 10am CST, link is in our bio!  #ClientStory #MSP</t>
  </si>
  <si>
    <t>https://www.instagram.com/reel/DWCCx62CQxO/</t>
  </si>
  <si>
    <t>A managed service deal isn't a one-and-done decision.  It's something that will affect your business almost every day, impacting your team, time, and ability to plan for what's next.  Join us as Juan‚ÄØValerio, CEO of Mi‚ÄØCoste√±ita, walks through the lessons his team learned from partnering with an MSP.  If you‚Äôre on the fence about bringing on an MSP \(or quietly wondering if your current partner is doing enough\), this session is a chance to hear from someone who has been in your seat.  Save your spot for this exclusive webinar on March 25th at 10am CST üëâ https://hubs.ly/Q046M1Sq0  {hashtag|\#|ClientStory} {hashtag|\#|MSP}</t>
  </si>
  <si>
    <t>https://www.linkedin.com/feed/update/urn:li:ugcPost:7440050839421030400</t>
  </si>
  <si>
    <t>urn:li:ugcPost:7440050839421030400</t>
  </si>
  <si>
    <t>A managed service deal isn't a one-and-done decision.  It's something that will affect your business almost every day, impacting your team, time, and ability to plan for what's next.  Join us as Juan‚ÄØValerio, CEO of Mi‚ÄØCoste√±ita, walks through the lessons his team learned from partnering with an MSP.  If you‚Äôre on the fence about bringing on an MSP (or quietly wondering if your current partner is doing enough), this session is a chance to hear from someone who has been in your seat.  Save your spot for this exclusive webinar on March 25th at 10am CST üëâ https://hubs.ly/Q046M0B60  #ClientStory #MSP</t>
  </si>
  <si>
    <t>https://www.youtube.com/shorts/4_u8RwvUaPw</t>
  </si>
  <si>
    <t>4_u8RwvUaPw</t>
  </si>
  <si>
    <t>CAROUSEL</t>
  </si>
  <si>
    <t>And the Oscar goes to‚Ä¶  The person somehow managing strategy, operations, tech issues, and everyone‚Äôs ‚Äúquick question.‚Äù üèÜ  When routine IT work stops consuming your team‚Äôs time, something important happens:ÔøΩthey can focus on the work that actually drives the business forward.  See how many organizations are making that shift at the link in our bio. üîó‚§¥Ô∏è  #ManagedIT #MSP #ManagedServices</t>
  </si>
  <si>
    <t>https://www.instagram.com/p/DV_kgsGCNL1/</t>
  </si>
  <si>
    <t>DOCUMENT</t>
  </si>
  <si>
    <t>And the Oscar for Best Supporting Role in Literally Every Department goes to‚Ä¶   üî∫ The expert who became the fixer. üî∫ The strategist who became the firefighter. üî∫ The team member everyone depends on when the tools, workflows, or priorities stop working the way they should.  That‚Äôs the reality for a lot of growing organizations. As complexity builds, responsibility starts collecting on the same shoulders. Not because people aren‚Äôt capable, but because unclear processes, disconnected tools, and constant day-to-day issues have to land somewhere.  When routine IT work stops taking over the day, something important happens: teams can refocus on the work that actually drives the business forward.  See how organizations are making that shift:‚Ä®https://hubs.ly/Q0478p\_T0  {hashtag|\#|ManagedIT} {hashtag|\#|ManagedServices} {hashtag|\#|MSP}</t>
  </si>
  <si>
    <t>https://www.linkedin.com/feed/update/urn:li:ugcPost:7439705422355136512</t>
  </si>
  <si>
    <t>urn:li:ugcPost:7439705422355136512</t>
  </si>
  <si>
    <t>IMAGE_STORY</t>
  </si>
  <si>
    <t>STORY</t>
  </si>
  <si>
    <t>https://www.instagram.com/stories/impactmybiz/3854355199427780706</t>
  </si>
  <si>
    <t>At peace thinking about all the business and tech trends I'll learn about this month. üòå‚ú®   Staying ahead is a little easier when the right insights are already waiting for you.   That‚Äôs why we created The Edge! Impact‚Äôs newsletter for leaders who want thoughtful insights on business technology, strategy, and what‚Äôs shaping the future of work. With new blogs, videos, webinars, eBooks, and more published regularly, it‚Äôs an easy way to keep valuable ideas within reach.   The best kind of inbox addition? One that helps you lead with a little more perspective.  Want in? Join us for a monthly dose of business and tech insights at https://hubs.ly/Q045VrGB0  üì∏ : \@rpnickson on @[Unsplash](urn:li:organization:15235698)</t>
  </si>
  <si>
    <t>https://www.linkedin.com/feed/update/urn:li:share:7437895137478791168</t>
  </si>
  <si>
    <t>urn:li:share:7437895137478791168</t>
  </si>
  <si>
    <t>At peace thinking about all the business and tech trends I'll learn about this month. üòå‚ú®  Staying ahead is a little easier when the right insights are already waiting for you.  Want in? Join us for a monthly dose of business and tech insights at the link in our bio.  üì∏ : rpnickson on @Unsplash</t>
  </si>
  <si>
    <t>https://www.instagram.com/p/DVyeoZAiG9N/</t>
  </si>
  <si>
    <t xml:space="preserve">Most pitches from traditional service providers sound great until you‚Äôre six months into a contract wondering, ‚ÄúIs this actually helping us?‚Äù  In this upcoming webinar, we sit down with client and @[Mi Coste√±ita](urn:li:organization:4167199) CEO Juan Valerio for an honest look at his team‚Äôs experience working with Impact as their managed services provider.  You‚Äôll hear a personal account of: üî∫ What ‚Äúgood‚Äù managed services should feel like day-to-day üî∫ How Mi Coste√±ita freed up their team to focus on the work that actually moves the business forward üî∫ Red flags to watch out for before locking into a contract  If you‚Äôre considering hiring an MSP or wondering whether your current partner is really pulling their weight, this is a conversation you‚Äôll want to sit in on.  Save your spot for this exclusive webinar on March 25th at 10am CST  üëâ https://hubs.ly/Q046b-Hm0  {hashtag|\#|ClientStory} {hashtag|\#|MSP} </t>
  </si>
  <si>
    <t>https://www.linkedin.com/feed/update/urn:li:share:7437161434393804801</t>
  </si>
  <si>
    <t>urn:li:share:7437161434393804801</t>
  </si>
  <si>
    <t>International Women‚Äôs Day may have been yesterday, but we should be recognizing the women who lead and uplift every day.  Our Women at Impact ERG members shared the women who‚Äôve inspired them most and why.   If you‚Äôre looking for a workplace where you can grow and be supported, see what that looks like at https://hubs.ly/Q045Vt\_z0</t>
  </si>
  <si>
    <t>https://www.linkedin.com/feed/update/urn:li:ugcPost:7436795532104216576</t>
  </si>
  <si>
    <t>urn:li:ugcPost:7436795532104216576</t>
  </si>
  <si>
    <t>#InternationalWomensDay may have been yesterday, but we should be honoring the women who lead and uplift every day.   Here are the inspiring shoutouts from our Women at Impact ERG.</t>
  </si>
  <si>
    <t>https://www.instagram.com/p/DVqid4oCPvA/</t>
  </si>
  <si>
    <t>Happy #EmployeeAppreciationDay! Our people are the backbone of everything we do.  Thanks for showing up, bringing your best, and making Impact what it is.</t>
  </si>
  <si>
    <t>https://www.instagram.com/p/DVjIptpiB-8/</t>
  </si>
  <si>
    <t>Happy Employee Appreciation Day!  Our employees are the backbone of our organization, and we‚Äôre grateful for the energy and expertise you bring to work every day.   Thank you for showing up for our clients and for each other. ‚ù§Ô∏è</t>
  </si>
  <si>
    <t>https://www.linkedin.com/feed/update/urn:li:ugcPost:7435716232659525632</t>
  </si>
  <si>
    <t>urn:li:ugcPost:7435716232659525632</t>
  </si>
  <si>
    <t>With one click, a normal workday turns into a chaotic scramble.   You might think it won't happen to you. But 73% of US adults have experienced an online scam or attack, according to Pew Research Center.   And 75% of cyberattacks start with a deceptive email \(Huntress\). This may come in the form of malware, credential theft, or someone pretending to be a coworker.  The goal isn't to never make a mistake. With awareness training and early detection, you'll have tools in place to spot red flags before you click.  Stop hackers before they've done damage at https://hubs.ly/Q045LKtX0</t>
  </si>
  <si>
    <t>https://www.linkedin.com/feed/update/urn:li:ugcPost:7435380265633607680</t>
  </si>
  <si>
    <t>urn:li:ugcPost:7435380265633607680</t>
  </si>
  <si>
    <t>With one click, a normal workday turns into a chaotic scramble.   You might think it won't happen to you. But 73% of US adults have experienced an online scam or attack, according to Pew Research Center.   Stop hackers before they've done damage at https://hubs.ly/Q045LZBD0</t>
  </si>
  <si>
    <t>https://www.youtube.com/shorts/By_fWETRyWM</t>
  </si>
  <si>
    <t>By_fWETRyWM</t>
  </si>
  <si>
    <t>With one click, a normal workday turns into a chaotic scramble.   You might think it won't happen to you. But 73% of US adults have experienced an online scam or attack, according to Pew Research Center.</t>
  </si>
  <si>
    <t>https://www.instagram.com/reel/DVgvW6OEUX-/</t>
  </si>
  <si>
    <t>Monday was #NationalOldStuffDay, and, yes, that includes your legacy systems. üôÇ‚Äç‚ÜïÔ∏è  Break out of the "same old, same old" routines by upgrading your systems as you grow your business.  So, what exactly should you be considering when upgrading those legacy systems?</t>
  </si>
  <si>
    <t>https://www.instagram.com/p/DVehU-uCCGW/</t>
  </si>
  <si>
    <t>We've all heard "we've always done it this way" in the workplace, but that doesn't mean that's how it should be done.  Monday was {hashtag|\#|NationalOldStuffDay}, and, yes, that includes your legacy systems.  If your business is growing, your tech should grow with it. Because upgrading from the ‚Äúsame old, same old‚Äù can lead to:  ‚ùóÔ∏èA real competitive edge  ‚ùóÔ∏èA smoother employee experience ‚ùóÔ∏èMore room to scale  ‚ùóÔ∏èBetter data and reporting  ‚ùóÔ∏èStronger security and performance  And you‚Äôre not alone if it feels like a headache. Over 90% of companies run into obstacles when rolling out new solutions \(The Reality of Business Technology Adoption Report\).  So, what exactly should you be considering when upgrading those legacy systems?   Upgrade your systems faster and easier at https://bit.ly/4u4g7ig   {hashtag|\#|LegacySystems} {hashtag|\#|DigitalTransformation}</t>
  </si>
  <si>
    <t>https://www.linkedin.com/feed/update/urn:li:ugcPost:7434998785958838272</t>
  </si>
  <si>
    <t>urn:li:ugcPost:7434998785958838272</t>
  </si>
  <si>
    <t>Calling all walkers and runners!   Join @[Marsell Wellness Center](urn:li:organization:18042594) for a 5k honoring veterans and helping connect them \(and their families\) to mental health support, wellness resources, and community services.   Your participation helps directly support veterans through housing support, job readiness programs, and clinical care.   We're proud to support Marsell Wellness, the care they show for the community they serve, and everything they've built for veterans and their families.   Every registration helps fund housing support, job readiness, and clinical services.</t>
  </si>
  <si>
    <t>https://www.linkedin.com/feed/update/urn:li:share:7434750073718202369</t>
  </si>
  <si>
    <t>urn:li:share:7434750073718202369</t>
  </si>
  <si>
    <t>We wanted to close out Black History Month by asking members of our BIPOC employee resource group \(ERG\) who in their life inspires them.   Here are a few of the people who shaped them. Thank you to our ERG members for sharing their inspiring strength, leadership, and everyday example.   As February ends, our commitment to learning, listening, and building a workplace where everyone belongs continues.   See how Impact celebrates diversity and inclusion at https://hubs.ly/Q044QXlx0   Who inspires you? Let us know in the comments. üëá   {hashtag|\#|BlackHistoryMonth} {hashtag|\#|BIPOC} {hashtag|\#|InspirationalQuotes}</t>
  </si>
  <si>
    <t>https://www.linkedin.com/feed/update/urn:li:ugcPost:7432824501001809920</t>
  </si>
  <si>
    <t>urn:li:ugcPost:7432824501001809920</t>
  </si>
  <si>
    <t>We wanted to close out Black History Month by asking members of our BIPOC employee resource group (ERG) who in their life inspires them.   Here are a few of the people who shaped them. Thank you to our ERG members for sharing their inspiring strength, leadership, and everyday example.   As February ends, our commitment to learning, listening, and building a workplace where everyone belongs continues.   See how Impact celebrates diversity and inclusion at https://www.impactmybiz.com/careers/diversity-and-inclusion/   Who inspires you? Let us know in the comments. üëá   #BlackHistoryMonth #BIPOC #InspirationalQuotes</t>
  </si>
  <si>
    <t>https://www.instagram.com/p/DVOiZu7CAfc/</t>
  </si>
  <si>
    <t>The latest edition of The Edge is here! ‚ö°  Here‚Äôs what you‚Äôll find inside this month: üî∫ A practical guide to mapping modern customer journeys üî∫ How to turn big cultural moments into real marketing wins üî∫ Small process + tech upgrades that drive real operational progress  Want insights like these delivered monthly? Subscribe to The Edge ‚¨áÔ∏è  {hashtag|\#|BusinessNewsletter} {hashtag|\#|TechNewsletter} {hashtag|\#|BusinessTechnology}</t>
  </si>
  <si>
    <t>https://www.linkedin.com/feed/update/urn:li:ugcPost:7432468565011705857</t>
  </si>
  <si>
    <t>urn:li:ugcPost:7432468565011705857</t>
  </si>
  <si>
    <t>TEXT</t>
  </si>
  <si>
    <t>Yes</t>
  </si>
  <si>
    <t>Catch a few of our Marketing + RevOps leaders on a @[6sense](urn:li:organization:3677944) webinar March 26th. ‚≠êÔ∏èüì∫  Along with @[Adam Kaiser](urn:li:person:bjOptowh8e) from 6sense, they'll be sharing their thoughts on building an integrated revenue engine, one that aligns teams, connects signals to action, and drives measurable results across the customer lifecycle.  Save your seat: https://lnkd.in/gcWKdm\_6   Featuring:  ‚Ä¢ @[Stefanie Dunlap](urn:li:person:ka9PJxMVDy), Executive Director, Demand Gen  ‚Ä¢ @[Kim Koltun](urn:li:person:HgFxaul8hj), Sr. Marketing Operations Manager  ‚Ä¢ @[Bailey Kennedy](urn:li:person:QyH99KuBeI), Revenue Operations Strategy Manager</t>
  </si>
  <si>
    <t>https://www.linkedin.com/feed/update/urn:li:share:7432505691447410688</t>
  </si>
  <si>
    <t>urn:li:share:7432505691447410688</t>
  </si>
  <si>
    <t>There's always one of those days where you have a "slow head turn" moment.  Processes change. Tools get added. Responsibilities shift. And suddenly, work feels harder than it needs to be. When systems don‚Äôt evolve together, teams end up spending more time reacting than moving forward.  With AI being the next big thing thrown at teams this year, visit https://hubs.ly/Q044kh2l0 to see how to make it actually work.</t>
  </si>
  <si>
    <t>https://www.youtube.com/shorts/AdyR-JqC10Q</t>
  </si>
  <si>
    <t>AdyR-JqC10Q</t>
  </si>
  <si>
    <t>VIDEO_STORY</t>
  </si>
  <si>
    <t>https://www.instagram.com/stories/impactmybiz/3839718276973092765</t>
  </si>
  <si>
    <t>Like this post if you‚Äôve ever had a ‚Äúslow head turn‚Äù moment like this. üôÉ  Processes change. Tools get added. Responsibilities shift. And suddenly, work feels harder than it needs to be. When systems don‚Äôt evolve together, teams end up spending more time reacting than moving forward.  With AI being the next big thing thrown at teams this year, visit the link in our bio to see how to make it actually work.</t>
  </si>
  <si>
    <t>https://www.instagram.com/reel/DVJmtSEkr__/</t>
  </si>
  <si>
    <t>Our Culver City crew chose pilates at The Studio \(MDR\) for Friday fun‚Ä¶ and yes, we‚Äôre counting it as team building. üòâüí™   FUN is a core value here, because life‚Äôs too short to be boring.   See a few of our open sales positions in SoCal at https://hubs.ly/Q044dc3N0  {hashtag|\#|TeamBonding} {hashtag|\#|MakeAnImpact} {hashtag|\#|SalesJobs} {hashtag|\#|OpenToWork}</t>
  </si>
  <si>
    <t>https://www.linkedin.com/feed/update/urn:li:ugcPost:7431736994353008640</t>
  </si>
  <si>
    <t>urn:li:ugcPost:7431736994353008640</t>
  </si>
  <si>
    <t>https://www.instagram.com/stories/impactmybiz/3837060953158055894</t>
  </si>
  <si>
    <t>https://www.instagram.com/stories/impactmybiz/3837060845012113120</t>
  </si>
  <si>
    <t>MORE THAN AN OFFICE ‚ù§Ô∏è</t>
  </si>
  <si>
    <t>https://www.instagram.com/stories/impactmybiz/3836142125956691860</t>
  </si>
  <si>
    <t>That‚Äôs a nice view! üòé  The magic happens in spaces built for clarity, curiosity, and collaboration. Like this one!  #OfficeLife #OfficeTour #Chicago</t>
  </si>
  <si>
    <t>https://www.instagram.com/reel/DU8hBqzkqo3/</t>
  </si>
  <si>
    <t>Sure, the view is great, but that's not the point.  We design our offices to support the people doing the work every day, creating space to think clearly, collaborate openly, and work through challenges together.  When teams have the right workspace, they're more equipped to support clients and prospects, ask better questions, and discover solutions that last.  If you‚Äôre curious about what it‚Äôs like to work at Impact and be part of a team built around collaboration and clarity, you can learn about our open roles at https://hubs.ly/Q043JT1x0  {hashtag|\#|MSP} {hashtag|\#|OfficeLife} {hashtag|\#|OfficeTour}</t>
  </si>
  <si>
    <t>https://www.linkedin.com/feed/update/urn:li:ugcPost:7430273132806012928</t>
  </si>
  <si>
    <t>urn:li:ugcPost:7430273132806012928</t>
  </si>
  <si>
    <t>That's a nice view! üòé  The magic happens in spaces built for clarity, curiosity, and collaboration. Like this one!  Curious what it's like to work in this office? Visit https://hubs.ly/Q043JS7V0</t>
  </si>
  <si>
    <t>https://www.youtube.com/shorts/a6ki9e1jGQc</t>
  </si>
  <si>
    <t>a6ki9e1jGQc</t>
  </si>
  <si>
    <t>Today's the day!  Join our AI experts‚ÄîAnna DeGiulio, Senior AI Product Manager, and Mike Noonan, Principal AI Consultant‚Äîfor an honest conversation about the moment organizations stop viewing AI as a productivity shortcut and start using it as a source of real insight and better decision-making.  You‚Äôll hear practical insights from those in the field and get a chance to reflect on where your organization stands with AI.  Live TODAY at 11 AM CT. Grab your spot at https://hubs.ly/Q0427HGS0  {hashtag|\#|AIWebinar} {hashtag|\#|AI} {hashtag|\#|AITips}</t>
  </si>
  <si>
    <t>https://www.linkedin.com/feed/update/urn:li:share:7429902772034076672</t>
  </si>
  <si>
    <t>urn:li:share:7429902772034076672</t>
  </si>
  <si>
    <t>Not everything in business tech needs to be complicated to be effective.  Our experts noticed it‚Äôs usually not about having the newest tool. It‚Äôs about whether your systems work together, whether your teams understand them, and whether they make work easier instead of harder.  When systems work together and make sense to the people using them, things tend to run a lot smoother.   That's our cup of tea. ü´ñ  If you're interested, check out additional information here: https://hubs.ly/Q0432Qqv0</t>
  </si>
  <si>
    <t>https://www.linkedin.com/feed/update/urn:li:ugcPost:7429578074863849472</t>
  </si>
  <si>
    <t>urn:li:ugcPost:7429578074863849472</t>
  </si>
  <si>
    <t>Not everything in business tech needs to be complicated to be effective.  When systems work together and make sense to the people using them, things tend to run a lot smoother.   That‚Äôs our cup of tea. ü´ñ  If you‚Äôre interested, check out additional information at the link in our bio. üîó‚§¥Ô∏è</t>
  </si>
  <si>
    <t>https://www.instagram.com/p/DU3gCL8j4Gq/</t>
  </si>
  <si>
    <t xml:space="preserve">Most teams don‚Äôt realize they‚Äôre handling data that can‚Äôt live in a standard Microsoft 365 environment.  And by the time a compliance requirement or contract review flags it‚Ä¶ the timeline is already tight. üò¨  Companies that handle controlled unclassified information \(CUI\) or International Traffic in Arms Regulations \(ITAR\) should be aware when GCC High is required. Those that handle federal contract information \(FCI\) can still use GCC.  This guide breaks down: ‚ô¶Ô∏è What GCC High is ‚ô¶Ô∏è Who needs it ‚ô¶Ô∏è How you can get GCCH licenses ‚ô¶Ô∏è Difference between M365 GCC vs. GCC High  If your team is unsure whether GCC High applies to you, a quick review now can save major stress later on.  For deeper insights or support check out https://hubs.ly/Q0432SW80  {hashtag|\#|GCCHigh} {hashtag|\#|Microsoft} {hashtag|\#|Compliance} </t>
  </si>
  <si>
    <t>https://www.linkedin.com/feed/update/urn:li:ugcPost:7429200655552225280</t>
  </si>
  <si>
    <t>urn:li:ugcPost:7429200655552225280</t>
  </si>
  <si>
    <t>WELCOME, INSTAGRAM, TO OUR CRIB üè†‚ù§Ô∏è</t>
  </si>
  <si>
    <t>https://www.instagram.com/stories/impactmybiz/3831847015970671778</t>
  </si>
  <si>
    <t>We believe the best relationships are built on clarity, trust, and good connections. üíò  See what makes things click at the link in our bio.</t>
  </si>
  <si>
    <t>https://www.instagram.com/p/DUqtM2eDzIb/</t>
  </si>
  <si>
    <t>Valentine‚Äôs Day is a reminder that good relationships don‚Äôt happen by accident. They‚Äôre built through trust, consistency, and showing up when it matters.  The same applies to work, especially when it comes to technology partnerships. Most organizations don‚Äôt need more tools. They need alignment between people, systems, and decisions that are made with the end user in mind.  When technology is designed around how teams work and supported by partners who understand the business behind the systems, everything starts to click. Work is easier. Risk is reduced. And teams can focus on progress instead of patchwork fixes.  That‚Äôs the approach we take with our clients every day.  See how we make things click at https://bit.ly/4abxead  {hashtag|\#|MSP} {hashtag|\#|ManagedServiceProvider}</t>
  </si>
  <si>
    <t>https://www.linkedin.com/feed/update/urn:li:ugcPost:7427758045205602304</t>
  </si>
  <si>
    <t>urn:li:ugcPost:7427758045205602304</t>
  </si>
  <si>
    <t>AI is everywhere, but are you truly leveraging its full potential? Join us for an exclusive webinar where @[Anna DeGiulio](urn:li:person:qEdVtqOKPQ), Senior AI Product Manager, and @[Mike Noonan](urn:li:person:RUpPqmT358), Principal AI Consultant, reveal how AI can evolve from a tool to a strategic asset that drives smarter decisions and real business impact.  Don‚Äôt miss your chance to gain actionable strategies and ask your most pressing questions.  üìÖ Wednesday, February 18th \| 11am CT    Secure your spot: https://hubs.ly/Q042N9nS0  {hashtag|\#|AIWebinar} {hashtag|\#|AI} {hashtag|\#|BusinessGrowth} {hashtag|\#|TechStrategy} {hashtag|\#|AIMaturity} {hashtag|\#|Leadership}</t>
  </si>
  <si>
    <t>https://www.linkedin.com/feed/update/urn:li:share:7427490919207223296</t>
  </si>
  <si>
    <t>urn:li:share:7427490919207223296</t>
  </si>
  <si>
    <t>Cybersecurity usually isn‚Äôt ignored.  It just doesn‚Äôt always rise to the top when everything else feels more immediate.  As teams grow, systems stack up, and responsibilities shift, risk exposure can increase quietly... often without clear visibility. Small gaps don‚Äôt always look urgent at the moment, but they tend to compound over time</t>
  </si>
  <si>
    <t>https://www.instagram.com/p/DUlkx0sjy1a/</t>
  </si>
  <si>
    <t>Cybersecurity is one of those things most teams know matters, but it can rarely feel urgent in the moment.  Usually, there's always something competing for more attention: a system needing to be fixed, a tight deadline, or adoption of a tool that was supposed to make things easier.  So, security often becomes an afterthought.  The challenge is that as teams and systems scale, small gaps can turn into material risk.   Those gaps don‚Äôt just increase exposure; they make issues harder and more expensive to remediate once they surface.  By the time these gaps are visible, they're usually harder and more expensive to deal with.  If this feels like a familiar story, read more at https://bit.ly/4azMOwd  {hashtag|\#|Cybersecurity} {hashtag|\#|Cybersec}</t>
  </si>
  <si>
    <t>https://www.linkedin.com/feed/update/urn:li:ugcPost:7427030349467029506</t>
  </si>
  <si>
    <t>urn:li:ugcPost:7427030349467029506</t>
  </si>
  <si>
    <t>The Big Game is the single largest advertising day of the year.  Brands spend months planning for this moment, and every year we start to see patterns in what works, what doesn't, and what audiences actually remember.  See what some of our experts from our marketing teams predict might show up this Sunday during the commercial breaks.</t>
  </si>
  <si>
    <t>https://www.instagram.com/p/DUY5E0bAQ4Y/</t>
  </si>
  <si>
    <t>The Big Game is the single largest advertising day of the year.  Brands spend months planning for this moment, and every year we start to see patterns in what works, what doesn't, and what audiences actually remember.  Experts from our marketing teams shared a few predictions for what might show up this Sunday during the commercial breaks  Interested in learning more? Check out https://hubs.ly/Q0416QY90</t>
  </si>
  <si>
    <t>https://www.linkedin.com/feed/update/urn:li:ugcPost:7425242777237602305</t>
  </si>
  <si>
    <t>urn:li:ugcPost:7425242777237602305</t>
  </si>
  <si>
    <t>Great businesses aren‚Äôt built on processes or technology alone. They‚Äôre built by great people.  Thank you @juanvalerio2215 for sharing your story with us. ‚ù§Ô∏è   Hear from other clients at the link in our bio.</t>
  </si>
  <si>
    <t>https://www.instagram.com/reel/DUV_k-wDWnD/</t>
  </si>
  <si>
    <t>Great businesses aren‚Äôt built on processes or technology alone. They‚Äôre built by great people.   @[Juan Valerio](urn:li:person:LVed3c0qlT), CEO of @[Mi Coste√±ita](urn:li:organization:4167199), shares why working with a partner who values their people makes all the difference.   ‚ÄúIt‚Äôs very, very important to me to work with people who have that philosophy, that understand that the people matter.‚Äù   Hear from other clients at https://hubs.ly/Q0416QVs0</t>
  </si>
  <si>
    <t>https://www.linkedin.com/feed/update/urn:li:ugcPost:7424852389653839872</t>
  </si>
  <si>
    <t>urn:li:ugcPost:7424852389653839872</t>
  </si>
  <si>
    <t>Great businesses aren‚Äôt built on processes or technology alone. They‚Äôre built by great people.   Juan Valerio, CEO of Mi Coste√±ita, shares why working with a partner who values their people makes all the difference.   Hear from other clients at https://hubs.ly/Q0416Swx0</t>
  </si>
  <si>
    <t>https://www.youtube.com/shorts/IobHJjktp_E</t>
  </si>
  <si>
    <t>IobHJjktp_E</t>
  </si>
  <si>
    <t>Join our AI experts‚Äî@[Anna DeGiulio](urn:li:person:qEdVtqOKPQ), Senior AI Product Manager, and @[Mike Noonan](urn:li:person:RUpPqmT358), Principal AI Consultant‚Äîfor an honest conversation about the moment organizations stop viewing AI as a productivity shortcut and start using it as a source of insight and better decision-making.  It's all happening Wednesday, February 18th at 11am CT. Grab your spot at https://hubs.ly/Q0416W-m0  {hashtag|\#|AIWebinar} {hashtag|\#|AI} {hashtag|\#|AITips}</t>
  </si>
  <si>
    <t>https://www.linkedin.com/feed/update/urn:li:ugcPost:7424497631449628672</t>
  </si>
  <si>
    <t>urn:li:ugcPost:7424497631449628672</t>
  </si>
  <si>
    <t>Join our AI experts‚ÄîAnna DeGiulio, Senior AI Product Manager, and Mike Noonan, Principal AI Consultant‚Äîfor an honest conversation about the moment organizations stop viewing AI as a productivity shortcut and start using it as a source of insight and better decision-making.  It's all happening Wednesday, February 18th at 11am CT. Grab your spot at https://hubs.ly/Q0416YZg0  #AIWebinar #AI #AITips</t>
  </si>
  <si>
    <t>https://www.youtube.com/shorts/vMiySX5upd0</t>
  </si>
  <si>
    <t>vMiySX5upd0</t>
  </si>
  <si>
    <t xml:space="preserve">Ever feel like work just repeats itself?  An issue comes up.  A new tool is added to solve it.  A workaround appears, and somehow the same issue comes back again.  That is usually not a people problem.  It is a systems problem.  When systems are built in pieces instead of designed to work together, teams end up reacting instead of moving forward. When new technology is added without understanding how work actually flows, the loop continues.  Adding more tools rarely fixes the problem.  But clarity, connection, and people-first systems do.  Explore ways to break the endless cycle at https://hubs.ly/Q0414hF50 </t>
  </si>
  <si>
    <t>https://www.linkedin.com/feed/update/urn:li:share:7424148086433669120</t>
  </si>
  <si>
    <t>urn:li:share:7424148086433669120</t>
  </si>
  <si>
    <t>AI transformation doesn‚Äôt fail because the technology isn‚Äôt ready.   It fails because organizations underestimate change management.   The tools aren‚Äôt the hard part. The hard part is getting people to actually use them.   You can roll out the most powerful AI tools on the market, but if they don‚Äôt clearly remove friction from someone‚Äôs workflow, adoption will stall. Every time.   The organizations seeing success with AI aren‚Äôt chasing trends. They‚Äôre intentionally designing solutions around how work actually gets done.   See how AI can transform your business at the link in our bio.</t>
  </si>
  <si>
    <t>https://www.instagram.com/reel/DUJFBZQDGbp/</t>
  </si>
  <si>
    <t>AI transformation doesn‚Äôt fail because the technology isn‚Äôt ready.   It fails because organizations underestimate change management.   The tools aren‚Äôt the hard part. The hard part is getting people to actually use them.   You can roll out the most powerful AI tools on the market, but if they don‚Äôt clearly remove friction from someone‚Äôs workflow, adoption will stall. Every time.   The organizations seeing success with AI aren‚Äôt chasing trends. They‚Äôre intentionally designing solutions around how work actually gets done.   See how AI can transform your business at https://hubs.ly/Q0412KPf0</t>
  </si>
  <si>
    <t>https://www.linkedin.com/feed/update/urn:li:ugcPost:7423042097156505600</t>
  </si>
  <si>
    <t>urn:li:ugcPost:7423042097156505600</t>
  </si>
  <si>
    <t>AI transformation doesn‚Äôt fail because the technology isn‚Äôt ready.   It fails because organizations underestimate change management.   The tools aren‚Äôt the hard part. The hard part is getting people to actually use them.   You can roll out the most powerful AI tools on the market, but if they don‚Äôt clearly remove friction from someone‚Äôs workflow, adoption will stall. Every time.   The organizations seeing success with AI aren‚Äôt chasing trends. They‚Äôre intentionally designing solutions around how work actually gets done.   See how AI can transform your business at https://hubs.ly/Q0412JlC0</t>
  </si>
  <si>
    <t>https://www.youtube.com/shorts/zfNz3UcIVSg</t>
  </si>
  <si>
    <t>zfNz3UcIVSg</t>
  </si>
  <si>
    <t xml:space="preserve">The latest edition of The Edge is here! ‚ö°  Here‚Äôs what you‚Äôll find inside this month: üî∫ A smarter way to rethink financial forecasting üî∫ An upcoming webinar on how AI strategies actually drive ROI \(and when they don't\) üî∫ What next-gen antivirus really means for modern businesses  Want insights like these delivered monthly? Subscribe to The Edge ‚¨áÔ∏è  {hashtag|\#|BusinessNewsletter} {hashtag|\#|TechNewsletter} {hashtag|\#|BusinessTechnology} </t>
  </si>
  <si>
    <t>https://www.linkedin.com/feed/update/urn:li:ugcPost:7421956333576404993</t>
  </si>
  <si>
    <t>urn:li:ugcPost:7421956333576404993</t>
  </si>
  <si>
    <t>Here's the thing: CMMC isn't just an IT framework; it's a business strategy that defines WHO you can work with, and HOW clients trust you.   With the assessment process taking up to two years, proactive organizations are tightening their security protocols now to stay ahead.  If you‚Äôre trying to understand where you stand with CMMC, this checklist is the best way to get started today. Download it now at the link in our bio.</t>
  </si>
  <si>
    <t>https://www.instagram.com/p/DUD-O0DCCzz/</t>
  </si>
  <si>
    <t>CMMC \(Cybersecurity Maturity Model Certification\) 2.0 ensures that anyone doing business with the Department of Defense can securely handle sensitive information.  Here's the thing: CMMC isn't just an IT framework; it's a business strategy that defines WHO you can work with, and HOW clients trust you.   With the assessment process taking up to two years, proactive organizations are tightening their security protocols now to stay ahead.  Unsure where to start? Our checklist breaks down: üëâ The 3 maturity levels and what each one requires üëâ The security domains you'll be evaluated on üëâ Where your business may have compliance gaps  If being CMMC compliant is part of your long-term business strategy, this checklist is the best place to start. Download it now at https://hubs.ly/Q040zDgy0</t>
  </si>
  <si>
    <t>https://www.linkedin.com/feed/update/urn:li:ugcPost:7422315043574374400</t>
  </si>
  <si>
    <t>urn:li:ugcPost:7422315043574374400</t>
  </si>
  <si>
    <t>AI this. AI that. How do you know what REALLY matters among all the AI chaos?  AI isn‚Äôt magic, and it isn‚Äôt a threat...so, what is it? What the stats say might be surprising...  Check out the link in our bio to see for yourself.</t>
  </si>
  <si>
    <t>https://www.instagram.com/reel/DUBdBe7EkOd/</t>
  </si>
  <si>
    <t>AI has become one of the \(if not the\) most misunderstood parts of the modern workplace.  When companies take the time to review infrastructure, clean up data systems, and align AI tools with real business goals, the results go beyond automation. You get smarter decisions, more time for high-value work, and a culture built to inspire constant innovation.   That‚Äôs why a thoughtful AI strategy \(not just a selection of tools\) matters most.   AI‚Äôs real ROI isn‚Äôt measured in bots created. It‚Äôs measured in teams transformed, insights uncovered, and goals finally realized.  AI isn‚Äôt magic, and it isn‚Äôt a threat...so, what is it? What the stats say might be surprising...  See for yourself at https://hubs.ly/Q040pLs90</t>
  </si>
  <si>
    <t>https://www.linkedin.com/feed/update/urn:li:ugcPost:7421968278685802496</t>
  </si>
  <si>
    <t>urn:li:ugcPost:7421968278685802496</t>
  </si>
  <si>
    <t>AI this. AI that. How do you know what REALLY matters among all the AI chaos?  AI isn‚Äôt magic, and it isn‚Äôt a threat...so, what is it? What the stats say might be surprising...  See for yourself. Check out https://hubs.ly/Q040nhdD0</t>
  </si>
  <si>
    <t>https://www.youtube.com/shorts/uNpoNlxVKX8</t>
  </si>
  <si>
    <t>uNpoNlxVKX8</t>
  </si>
  <si>
    <t>Here‚Äôs an uncomfortable truth about AI: automating a bad process doesn‚Äôt magically make it good.  The real opportunity with AI isn‚Äôt automating every task in sight, it‚Äôs stepping back and asking better questions.  How does work actually get done here?  Which processes exist out of habit instead of necessity?  And what happens when AI becomes a partner instead of something just tacked on?  When AI is applied with intention, it doesn‚Äôt just make work faster. It makes work smarter.  How is your organization approaching AI right now?  If you‚Äôre ready to rethink it, learn more at https://hubs.ly/Q03\_KjG90</t>
  </si>
  <si>
    <t>https://www.linkedin.com/feed/update/urn:li:ugcPost:7419788877361594368</t>
  </si>
  <si>
    <t>urn:li:ugcPost:7419788877361594368</t>
  </si>
  <si>
    <t>Here‚Äôs an uncomfortable truth about AI: automating a bad process doesn‚Äôt magically make it good.  The real opportunity with AI isn‚Äôt automating every task in sight, it‚Äôs stepping back and asking better questions.  How does work actually get done here?  Which processes exist out of habit instead of necessity?  And what happens when AI becomes a partner instead of something just tacked on?  When AI is applied with intention, it doesn‚Äôt just make work faster. It makes work smarter.  How is your organization approaching AI right now?  If you‚Äôre ready to rethink it, learn more at https://hubs.ly/Q03_KqP50</t>
  </si>
  <si>
    <t>https://www.youtube.com/shorts/Ig9vreNk1cI</t>
  </si>
  <si>
    <t>Ig9vreNk1cI</t>
  </si>
  <si>
    <t>Here‚Äôs an uncomfortable truth about AI: automating a bad process doesn‚Äôt magically make it good.   The real opportunity with AI isn‚Äôt automating every task in sight, it‚Äôs stepping back and asking better questions.   When AI is applied with intention, it doesn‚Äôt just make work faster. It makes work smarter.  How is your organization approaching AI right now?  If you‚Äôre ready to rethink it, learn more at the link in our bio</t>
  </si>
  <si>
    <t>https://www.instagram.com/reel/DTx8n3rEbv7/</t>
  </si>
  <si>
    <t>The Edge is worth raising a glass to. ü•Ç  Our business insights newsletter breaks down tech, leadership, and trends all in one place, so you don't have to drown your inbox anymore.  Best part... it's an easy read in 3 minutes or less.  Tap the link in our bio to subscribe. You deserve a newsletter that respects your time.</t>
  </si>
  <si>
    <t>https://www.instagram.com/reel/DTvecBHkRbb/</t>
  </si>
  <si>
    <t>If your week is packed and you don't have time to sift through endless reports and whitepapers, let The Edge do the heavy lifting for you!  Each monthly edition gives you: üî∫ Clear insights on the trends shaping modern business üî∫ Practical guidance on AI, tech adoption, and business transformation üî∫ Leadership takeaways you can immediately put into practice üî∫ Content like blogs, videos, and webinars curated exclusively for decision-makers  It's the easiest way to stay informed and stay ahead, without stressing over time.  Subscribe on LinkedIn https://lnkd.in/g\_aenQ8V</t>
  </si>
  <si>
    <t>https://www.linkedin.com/feed/update/urn:li:share:7417968505242963968</t>
  </si>
  <si>
    <t>urn:li:share:7417968505242963968</t>
  </si>
  <si>
    <t>Many teams use AI, but very few feel confident they use it well.  In our upcoming webinar, our experts talk about the moment when AI stops being "just another tool" and starts helping teams make better decisions.  Join @[Anna DeGiulio](urn:li:person:qEdVtqOKPQ), Senior AI Product Manager, and @[Mike Noonan](urn:li:person:RUpPqmT358), Principal AI Consultant, for a practical conversation on what that shift looks like and a live reflection on where your organization truly stands with AI.  It's all happening Wednesday, February 18th at 11am CT. Grab your spot at https://hubs.ly/Q03-H75w0 {hashtag|\#|AIWebinar} {hashtag|\#|AI} {hashtag|\#|AITips}</t>
  </si>
  <si>
    <t>https://www.linkedin.com/feed/update/urn:li:share:7417596600631615488</t>
  </si>
  <si>
    <t>urn:li:share:7417596600631615488</t>
  </si>
  <si>
    <t>AI isn't magic. It's a tool.    And the real opportunity with AI is the strategy behind it, which is why our experts approach AI with process in mind first.    They‚Äôve been helping businesses rethink how work gets done for almost two and a half decades, two of which were spent applying AI inside our own operations before bringing it to you.   Real results come from understanding your processes, your people, and where tech can actually support better decisions.   If you‚Äôre exploring AI but unsure where to get started, head to the link in our bio. üîó‚§¥Ô∏è  #AIConsulting #AI #AIServices</t>
  </si>
  <si>
    <t>https://www.instagram.com/reel/DTf6v2BjB-0/</t>
  </si>
  <si>
    <t>AI isn't magic. It's a tool.    And the real opportunity with AI is the strategy behind it, which is why our experts approach AI with process in mind first.    They‚Äôve been helping businesses rethink how work gets done for almost two and a half decades, two of which were spent applying AI inside our own operations before bringing it to you.   Real results come from understanding your processes, your people, and where tech can actually support better decisions.   If you‚Äôre exploring AI but unsure where to get started, head to https://hubs.ly/Q03-GQ0Q0 and learn more.</t>
  </si>
  <si>
    <t>https://www.linkedin.com/feed/update/urn:li:ugcPost:7417227215806943232</t>
  </si>
  <si>
    <t>urn:li:ugcPost:7417227215806943232</t>
  </si>
  <si>
    <t>AI isn't magic. It's a tool.    And the real opportunity with AI is the strategy behind it, which is why our experts approach AI with process in mind first.    They‚Äôve been helping businesses rethink how work gets done for almost two and a half decades, two of which were spent applying AI inside our own operations before bringing it to you.   Real results come from understanding your processes, your people, and where tech can actually support better decisions.   If you‚Äôre exploring AI but unsure where to get started, head to https://hubs.ly/Q03-GLKG0 and learn more.</t>
  </si>
  <si>
    <t>https://www.youtube.com/shorts/Qz1OUe0VX3E</t>
  </si>
  <si>
    <t>Qz1OUe0VX3E</t>
  </si>
  <si>
    <t>Successful teams are built when everyone feels aligned and heard. The moment conversations slip into side groups and ‚Äúhe said/she said,‚Äù trust starts shrinking.  If your teams start to split, it's time to hit pause ‚è∏Ô∏è, rewind ‚è™, and realign. ü§ù   If this resonates, there's a full conversation that breaks down strategies behind building strong, fully-aligned teams on our LinkedIn page. Check it out at the link in our bio. üîó‚§¥Ô∏è</t>
  </si>
  <si>
    <t>https://www.instagram.com/reel/DTbQJNoEd09/</t>
  </si>
  <si>
    <t xml:space="preserve">Successful teams are built when everyone feels aligned and heard. The moment conversations slip into side groups and ‚Äúhe said/she said,‚Äù trust starts shrinking.  Our Executive Leadership Team dove into what they've learned about leading through change over the years: what worked, what didn‚Äôt, and how leaders like you can guide teams more effectively.  In the full conversation, you'll learn: ‚ô¶Ô∏è How upcoming leaders can use a 30-60-90 approach to understand a company before driving change ‚ô¶Ô∏è Applying a listen, learn, lead mindset to build trust ‚ô¶Ô∏è Where AI fits in and why the human element still matters most  If you‚Äôre navigating growth, leadership changes, or organizational alignment, the full session is worth a watch.  Catch the entire conversation on our LinkedIn page at https://hubs.ly/Q03-thGz0  </t>
  </si>
  <si>
    <t>https://www.linkedin.com/feed/update/urn:li:ugcPost:7416592609726357504</t>
  </si>
  <si>
    <t>urn:li:ugcPost:7416592609726357504</t>
  </si>
  <si>
    <t>Successful teams are built when everyone feels aligned and heard. The moment conversations slip into side groups and ‚Äúhe said/she said,‚Äù trust starts shrinking.  If your teams start to split, it's time to hit pause ‚è∏Ô∏è, rewind ‚è™, and realign. ü§ù   If this resonates, there's a full conversation that breaks down strategies behind building strong. fully-aligned teams on our LinkedIn page. Check it out at https://hubs.ly/Q03-mLlJ0</t>
  </si>
  <si>
    <t>https://www.youtube.com/shorts/rxXMLz0dKr4</t>
  </si>
  <si>
    <t>rxXMLz0dKr4</t>
  </si>
  <si>
    <t>"Grow the business" sounds simple... until you look under the surface. üëÄ  Most of the hard work is invisible and most of the progress happens long before the big wins.  If business growth is a goal of yours in 2026, know that you don't have to do it all alone. There are partners, frameworks, and support systems designed to make the weight lighter.  We're here to make growth easier for you in the new year. Just head to the link in our bio and get started. üîó‚§¥Ô∏è</t>
  </si>
  <si>
    <t>https://www.instagram.com/p/DTLV0vFCHHa/</t>
  </si>
  <si>
    <t>POLL</t>
  </si>
  <si>
    <t>Welcome 2026! üéâ  Everybody is making their plans for the new year, so we want to know...</t>
  </si>
  <si>
    <t>https://www.linkedin.com/feed/update/urn:li:ugcPost:7411471621384802305</t>
  </si>
  <si>
    <t>urn:li:ugcPost:7411471621384802305</t>
  </si>
  <si>
    <t>‚ÄúWe know we should be using AI‚Ä¶ we just don‚Äôt know how.‚Äù   That‚Äôs the most common thing we hear.   So we launched AI Consulting to help teams get clarity on where AI actually fits in their systems‚Ä¶ without adding more tools or headaches.  #AIServices #AIConsulting #AI</t>
  </si>
  <si>
    <t>https://www.instagram.com/reel/DTIouzBik4C/</t>
  </si>
  <si>
    <t>One of the most common things we heard people say about AI in 2025 was ‚Äúwe know we should be using it, but we just don‚Äôt know how.‚Äù  To answer this question, we‚Äôre launching AI Consulting services to give teams clarity on where AI actually fits in their systems.   Our approach is simple: we look at how work really happens, then design AI to support it.   It‚Äôs for teams that want AI to make their lives easier instead of just piling on more tools, processes, or headaches.  Get clarity on AI at https://hubs.ly/Q03Zj04T0  {hashtag|\#|AIServices} {hashtag|\#|AIConsulting} {hashtag|\#|AI}</t>
  </si>
  <si>
    <t>https://www.linkedin.com/feed/update/urn:li:ugcPost:7413973085751586816</t>
  </si>
  <si>
    <t>urn:li:ugcPost:7413973085751586816</t>
  </si>
  <si>
    <t>‚ÄúWe know we should be using AI‚Ä¶ we just don‚Äôt know how.‚Äù   That‚Äôs the most common thing we hear.   So we launched AI Consulting to help teams get clarity on where AI actually fits in their systems‚Ä¶ without adding more tools or headaches.   Get clarity on AI at https://hubs.ly/Q03Zj7Db0  #AIServices #AIConsulting #AI</t>
  </si>
  <si>
    <t>https://www.youtube.com/shorts/4N_3eIE-E7I</t>
  </si>
  <si>
    <t>4N_3eIE-E7I</t>
  </si>
  <si>
    <t>INSTAGRAM TOTAL</t>
  </si>
  <si>
    <t>LINKEDIN TOTAL</t>
  </si>
  <si>
    <t>YOUTUBE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</si>
</sst>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10937-814A-DA41-8F67-D3EAF4CCB9BB}">
  <dimension ref="A1:Q94"/>
  <sheetViews>
    <sheetView tabSelected="1" topLeftCell="A16" workbookViewId="0">
      <selection activeCell="E103" sqref="E103"/>
    </sheetView>
  </sheetViews>
  <sheetFormatPr baseColWidth="10" defaultRowHeight="16" x14ac:dyDescent="0.2"/>
  <cols>
    <col min="1" max="1" width="10.83203125" customWidth="1"/>
    <col min="13" max="13" width="17.1640625"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28</v>
      </c>
      <c r="B2" t="s">
        <v>21</v>
      </c>
      <c r="C2" s="1">
        <v>46107.466493055559</v>
      </c>
      <c r="D2" t="s">
        <v>29</v>
      </c>
      <c r="E2" t="s">
        <v>29</v>
      </c>
      <c r="F2" t="s">
        <v>20</v>
      </c>
      <c r="G2" t="s">
        <v>20</v>
      </c>
      <c r="H2" t="s">
        <v>20</v>
      </c>
      <c r="I2" t="s">
        <v>30</v>
      </c>
      <c r="J2" t="s">
        <v>31</v>
      </c>
      <c r="K2">
        <v>1.81011655427463E+16</v>
      </c>
      <c r="L2">
        <v>567</v>
      </c>
      <c r="M2">
        <v>36</v>
      </c>
      <c r="N2">
        <v>408</v>
      </c>
      <c r="O2" t="s">
        <v>19</v>
      </c>
      <c r="P2">
        <v>8.82</v>
      </c>
      <c r="Q2">
        <v>9</v>
      </c>
    </row>
    <row r="3" spans="1:17" x14ac:dyDescent="0.2">
      <c r="A3" t="s">
        <v>28</v>
      </c>
      <c r="B3" t="s">
        <v>21</v>
      </c>
      <c r="C3" s="1">
        <v>46106.335717592592</v>
      </c>
      <c r="D3" t="s">
        <v>29</v>
      </c>
      <c r="E3" t="s">
        <v>29</v>
      </c>
      <c r="F3" t="s">
        <v>20</v>
      </c>
      <c r="G3" t="s">
        <v>20</v>
      </c>
      <c r="H3" t="s">
        <v>20</v>
      </c>
      <c r="I3" t="s">
        <v>42</v>
      </c>
      <c r="J3" t="s">
        <v>43</v>
      </c>
      <c r="K3">
        <v>1.80722956042316E+16</v>
      </c>
      <c r="L3">
        <v>866</v>
      </c>
      <c r="M3">
        <v>26</v>
      </c>
      <c r="N3">
        <v>609</v>
      </c>
      <c r="O3" t="s">
        <v>19</v>
      </c>
      <c r="P3">
        <v>4.2699999999999996</v>
      </c>
      <c r="Q3">
        <v>1</v>
      </c>
    </row>
    <row r="4" spans="1:17" x14ac:dyDescent="0.2">
      <c r="A4" t="s">
        <v>28</v>
      </c>
      <c r="B4" t="s">
        <v>21</v>
      </c>
      <c r="C4" s="1">
        <v>46104.252569444441</v>
      </c>
      <c r="D4" t="s">
        <v>29</v>
      </c>
      <c r="E4" t="s">
        <v>29</v>
      </c>
      <c r="F4" t="s">
        <v>20</v>
      </c>
      <c r="G4" t="s">
        <v>20</v>
      </c>
      <c r="H4" t="s">
        <v>20</v>
      </c>
      <c r="I4" t="s">
        <v>56</v>
      </c>
      <c r="J4" t="s">
        <v>57</v>
      </c>
      <c r="K4">
        <v>1.78751102164379E+16</v>
      </c>
      <c r="L4">
        <v>897</v>
      </c>
      <c r="M4">
        <v>73</v>
      </c>
      <c r="N4">
        <v>544</v>
      </c>
      <c r="O4" t="s">
        <v>19</v>
      </c>
      <c r="P4">
        <v>13.42</v>
      </c>
      <c r="Q4">
        <v>7</v>
      </c>
    </row>
    <row r="5" spans="1:17" x14ac:dyDescent="0.2">
      <c r="A5" t="s">
        <v>28</v>
      </c>
      <c r="B5" t="s">
        <v>21</v>
      </c>
      <c r="C5" s="1">
        <v>46100.568229166667</v>
      </c>
      <c r="D5" t="s">
        <v>29</v>
      </c>
      <c r="E5" t="s">
        <v>29</v>
      </c>
      <c r="F5" t="s">
        <v>20</v>
      </c>
      <c r="G5" t="s">
        <v>20</v>
      </c>
      <c r="H5" t="s">
        <v>20</v>
      </c>
      <c r="I5" t="s">
        <v>58</v>
      </c>
      <c r="J5" t="s">
        <v>59</v>
      </c>
      <c r="K5">
        <v>1.80766723341282E+16</v>
      </c>
      <c r="L5">
        <v>341</v>
      </c>
      <c r="M5">
        <v>14</v>
      </c>
      <c r="N5">
        <v>263</v>
      </c>
      <c r="O5" t="s">
        <v>19</v>
      </c>
      <c r="P5">
        <v>5.32</v>
      </c>
      <c r="Q5">
        <v>0</v>
      </c>
    </row>
    <row r="6" spans="1:17" x14ac:dyDescent="0.2">
      <c r="A6" t="s">
        <v>28</v>
      </c>
      <c r="B6" t="s">
        <v>21</v>
      </c>
      <c r="C6" s="1">
        <v>46099.383310185185</v>
      </c>
      <c r="D6" t="s">
        <v>29</v>
      </c>
      <c r="E6" t="s">
        <v>29</v>
      </c>
      <c r="F6" t="s">
        <v>20</v>
      </c>
      <c r="G6" t="s">
        <v>20</v>
      </c>
      <c r="H6" t="s">
        <v>20</v>
      </c>
      <c r="I6" t="s">
        <v>66</v>
      </c>
      <c r="J6" t="s">
        <v>67</v>
      </c>
      <c r="K6">
        <v>1.78977920552643E+16</v>
      </c>
      <c r="L6">
        <v>1206</v>
      </c>
      <c r="M6">
        <v>46</v>
      </c>
      <c r="N6">
        <v>806</v>
      </c>
      <c r="O6" t="s">
        <v>19</v>
      </c>
      <c r="P6">
        <v>5.71</v>
      </c>
      <c r="Q6">
        <v>8</v>
      </c>
    </row>
    <row r="7" spans="1:17" x14ac:dyDescent="0.2">
      <c r="A7" t="s">
        <v>28</v>
      </c>
      <c r="B7" t="s">
        <v>21</v>
      </c>
      <c r="C7" s="1">
        <v>46098.420300925929</v>
      </c>
      <c r="D7" t="s">
        <v>74</v>
      </c>
      <c r="E7" t="s">
        <v>18</v>
      </c>
      <c r="F7" t="s">
        <v>20</v>
      </c>
      <c r="G7" t="s">
        <v>20</v>
      </c>
      <c r="H7" t="s">
        <v>20</v>
      </c>
      <c r="I7" t="s">
        <v>75</v>
      </c>
      <c r="J7" t="s">
        <v>76</v>
      </c>
      <c r="K7">
        <v>1.81314525855341E+16</v>
      </c>
      <c r="L7">
        <v>421</v>
      </c>
      <c r="M7">
        <v>14</v>
      </c>
      <c r="N7">
        <v>167</v>
      </c>
      <c r="O7" t="s">
        <v>19</v>
      </c>
      <c r="P7">
        <v>7.78</v>
      </c>
      <c r="Q7">
        <v>2</v>
      </c>
    </row>
    <row r="8" spans="1:17" x14ac:dyDescent="0.2">
      <c r="A8" t="s">
        <v>28</v>
      </c>
      <c r="B8" t="s">
        <v>21</v>
      </c>
      <c r="C8" s="1">
        <v>46097.58525462963</v>
      </c>
      <c r="D8" t="s">
        <v>81</v>
      </c>
      <c r="E8" t="s">
        <v>82</v>
      </c>
      <c r="F8" t="s">
        <v>20</v>
      </c>
      <c r="G8" t="s">
        <v>20</v>
      </c>
      <c r="H8" t="s">
        <v>20</v>
      </c>
      <c r="I8" t="s">
        <v>19</v>
      </c>
      <c r="J8" t="s">
        <v>83</v>
      </c>
      <c r="K8">
        <v>1.83054218443028E+16</v>
      </c>
      <c r="L8">
        <v>177</v>
      </c>
      <c r="M8">
        <v>0</v>
      </c>
      <c r="N8">
        <v>177</v>
      </c>
      <c r="O8" t="s">
        <v>19</v>
      </c>
      <c r="P8" t="s">
        <v>19</v>
      </c>
      <c r="Q8" t="s">
        <v>19</v>
      </c>
    </row>
    <row r="9" spans="1:17" x14ac:dyDescent="0.2">
      <c r="A9" t="s">
        <v>28</v>
      </c>
      <c r="B9" t="s">
        <v>21</v>
      </c>
      <c r="C9" s="1">
        <v>46093.335972222223</v>
      </c>
      <c r="D9" t="s">
        <v>17</v>
      </c>
      <c r="E9" t="s">
        <v>18</v>
      </c>
      <c r="F9" t="s">
        <v>20</v>
      </c>
      <c r="G9" t="s">
        <v>20</v>
      </c>
      <c r="H9" t="s">
        <v>20</v>
      </c>
      <c r="I9" t="s">
        <v>87</v>
      </c>
      <c r="J9" t="s">
        <v>88</v>
      </c>
      <c r="K9">
        <v>1.82571663222949E+16</v>
      </c>
      <c r="L9">
        <v>193</v>
      </c>
      <c r="M9">
        <v>9</v>
      </c>
      <c r="N9">
        <v>93</v>
      </c>
      <c r="O9" t="s">
        <v>19</v>
      </c>
      <c r="P9">
        <v>9.68</v>
      </c>
      <c r="Q9">
        <v>0</v>
      </c>
    </row>
    <row r="10" spans="1:17" x14ac:dyDescent="0.2">
      <c r="A10" t="s">
        <v>28</v>
      </c>
      <c r="B10" t="s">
        <v>21</v>
      </c>
      <c r="C10" s="1">
        <v>46090.252303240741</v>
      </c>
      <c r="D10" t="s">
        <v>74</v>
      </c>
      <c r="E10" t="s">
        <v>18</v>
      </c>
      <c r="F10" t="s">
        <v>20</v>
      </c>
      <c r="G10" t="s">
        <v>20</v>
      </c>
      <c r="H10" t="s">
        <v>20</v>
      </c>
      <c r="I10" t="s">
        <v>95</v>
      </c>
      <c r="J10" t="s">
        <v>96</v>
      </c>
      <c r="K10">
        <v>1.80125618638318E+16</v>
      </c>
      <c r="L10">
        <v>722</v>
      </c>
      <c r="M10">
        <v>47</v>
      </c>
      <c r="N10">
        <v>248</v>
      </c>
      <c r="O10" t="s">
        <v>19</v>
      </c>
      <c r="P10">
        <v>18.55</v>
      </c>
      <c r="Q10">
        <v>7</v>
      </c>
    </row>
    <row r="11" spans="1:17" x14ac:dyDescent="0.2">
      <c r="A11" t="s">
        <v>28</v>
      </c>
      <c r="B11" t="s">
        <v>21</v>
      </c>
      <c r="C11" s="1">
        <v>46087.335462962961</v>
      </c>
      <c r="D11" t="s">
        <v>74</v>
      </c>
      <c r="E11" t="s">
        <v>18</v>
      </c>
      <c r="F11" t="s">
        <v>20</v>
      </c>
      <c r="G11" t="s">
        <v>20</v>
      </c>
      <c r="H11" t="s">
        <v>20</v>
      </c>
      <c r="I11" t="s">
        <v>97</v>
      </c>
      <c r="J11" t="s">
        <v>98</v>
      </c>
      <c r="K11">
        <v>1.79066886153606E+16</v>
      </c>
      <c r="L11">
        <v>1759</v>
      </c>
      <c r="M11">
        <v>67</v>
      </c>
      <c r="N11">
        <v>665</v>
      </c>
      <c r="O11" t="s">
        <v>19</v>
      </c>
      <c r="P11">
        <v>9.77</v>
      </c>
      <c r="Q11">
        <v>9</v>
      </c>
    </row>
    <row r="12" spans="1:17" x14ac:dyDescent="0.2">
      <c r="A12" t="s">
        <v>28</v>
      </c>
      <c r="B12" t="s">
        <v>21</v>
      </c>
      <c r="C12" s="1">
        <v>46086.405486111114</v>
      </c>
      <c r="D12" t="s">
        <v>29</v>
      </c>
      <c r="E12" t="s">
        <v>29</v>
      </c>
      <c r="F12" t="s">
        <v>20</v>
      </c>
      <c r="G12" t="s">
        <v>20</v>
      </c>
      <c r="H12" t="s">
        <v>20</v>
      </c>
      <c r="I12" t="s">
        <v>108</v>
      </c>
      <c r="J12" t="s">
        <v>109</v>
      </c>
      <c r="K12">
        <v>1.83458443692385E+16</v>
      </c>
      <c r="L12">
        <v>411</v>
      </c>
      <c r="M12">
        <v>11</v>
      </c>
      <c r="N12">
        <v>319</v>
      </c>
      <c r="O12" t="s">
        <v>19</v>
      </c>
      <c r="P12">
        <v>3.45</v>
      </c>
      <c r="Q12">
        <v>0</v>
      </c>
    </row>
    <row r="13" spans="1:17" x14ac:dyDescent="0.2">
      <c r="A13" t="s">
        <v>28</v>
      </c>
      <c r="B13" t="s">
        <v>21</v>
      </c>
      <c r="C13" s="1">
        <v>46085.543402777781</v>
      </c>
      <c r="D13" t="s">
        <v>74</v>
      </c>
      <c r="E13" t="s">
        <v>18</v>
      </c>
      <c r="F13" t="s">
        <v>20</v>
      </c>
      <c r="G13" t="s">
        <v>20</v>
      </c>
      <c r="H13" t="s">
        <v>20</v>
      </c>
      <c r="I13" t="s">
        <v>110</v>
      </c>
      <c r="J13" t="s">
        <v>111</v>
      </c>
      <c r="K13">
        <v>1.81127949046414E+16</v>
      </c>
      <c r="L13">
        <v>254</v>
      </c>
      <c r="M13">
        <v>11</v>
      </c>
      <c r="N13">
        <v>96</v>
      </c>
      <c r="O13" t="s">
        <v>19</v>
      </c>
      <c r="P13">
        <v>11.46</v>
      </c>
      <c r="Q13">
        <v>2</v>
      </c>
    </row>
    <row r="14" spans="1:17" x14ac:dyDescent="0.2">
      <c r="A14" t="s">
        <v>28</v>
      </c>
      <c r="B14" t="s">
        <v>21</v>
      </c>
      <c r="C14" s="1">
        <v>46079.336145833331</v>
      </c>
      <c r="D14" t="s">
        <v>74</v>
      </c>
      <c r="E14" t="s">
        <v>18</v>
      </c>
      <c r="F14" t="s">
        <v>20</v>
      </c>
      <c r="G14" t="s">
        <v>20</v>
      </c>
      <c r="H14" t="s">
        <v>20</v>
      </c>
      <c r="I14" t="s">
        <v>121</v>
      </c>
      <c r="J14" t="s">
        <v>122</v>
      </c>
      <c r="K14">
        <v>1.80592971953621E+16</v>
      </c>
      <c r="L14">
        <v>258</v>
      </c>
      <c r="M14">
        <v>8</v>
      </c>
      <c r="N14">
        <v>92</v>
      </c>
      <c r="O14" t="s">
        <v>19</v>
      </c>
      <c r="P14">
        <v>8.6999999999999993</v>
      </c>
      <c r="Q14">
        <v>2</v>
      </c>
    </row>
    <row r="15" spans="1:17" x14ac:dyDescent="0.2">
      <c r="A15" t="s">
        <v>28</v>
      </c>
      <c r="B15" t="s">
        <v>21</v>
      </c>
      <c r="C15" s="1">
        <v>46077.348460648151</v>
      </c>
      <c r="D15" t="s">
        <v>134</v>
      </c>
      <c r="E15" t="s">
        <v>82</v>
      </c>
      <c r="F15" t="s">
        <v>20</v>
      </c>
      <c r="G15" t="s">
        <v>20</v>
      </c>
      <c r="H15" t="s">
        <v>20</v>
      </c>
      <c r="I15" t="s">
        <v>19</v>
      </c>
      <c r="J15" t="s">
        <v>135</v>
      </c>
      <c r="K15">
        <v>1.85750036440456E+16</v>
      </c>
      <c r="L15">
        <v>116</v>
      </c>
      <c r="M15">
        <v>0</v>
      </c>
      <c r="N15">
        <v>114</v>
      </c>
      <c r="O15" t="s">
        <v>19</v>
      </c>
      <c r="P15" t="s">
        <v>19</v>
      </c>
      <c r="Q15" t="s">
        <v>19</v>
      </c>
    </row>
    <row r="16" spans="1:17" x14ac:dyDescent="0.2">
      <c r="A16" t="s">
        <v>28</v>
      </c>
      <c r="B16" t="s">
        <v>21</v>
      </c>
      <c r="C16" s="1">
        <v>46077.346018518518</v>
      </c>
      <c r="D16" t="s">
        <v>29</v>
      </c>
      <c r="E16" t="s">
        <v>29</v>
      </c>
      <c r="F16" t="s">
        <v>20</v>
      </c>
      <c r="G16" t="s">
        <v>20</v>
      </c>
      <c r="H16" t="s">
        <v>20</v>
      </c>
      <c r="I16" t="s">
        <v>136</v>
      </c>
      <c r="J16" t="s">
        <v>137</v>
      </c>
      <c r="K16">
        <v>1.80734950854024E+16</v>
      </c>
      <c r="L16">
        <v>662</v>
      </c>
      <c r="M16">
        <v>19</v>
      </c>
      <c r="N16">
        <v>407</v>
      </c>
      <c r="O16" t="s">
        <v>19</v>
      </c>
      <c r="P16">
        <v>4.67</v>
      </c>
      <c r="Q16">
        <v>0</v>
      </c>
    </row>
    <row r="17" spans="1:17" x14ac:dyDescent="0.2">
      <c r="A17" t="s">
        <v>28</v>
      </c>
      <c r="B17" t="s">
        <v>21</v>
      </c>
      <c r="C17" s="1">
        <v>46073.682071759256</v>
      </c>
      <c r="D17" t="s">
        <v>81</v>
      </c>
      <c r="E17" t="s">
        <v>82</v>
      </c>
      <c r="F17" t="s">
        <v>20</v>
      </c>
      <c r="G17" t="s">
        <v>20</v>
      </c>
      <c r="H17" t="s">
        <v>20</v>
      </c>
      <c r="I17" t="s">
        <v>19</v>
      </c>
      <c r="J17" t="s">
        <v>141</v>
      </c>
      <c r="K17">
        <v>1.81678093243948E+16</v>
      </c>
      <c r="L17">
        <v>151</v>
      </c>
      <c r="M17">
        <v>0</v>
      </c>
      <c r="N17">
        <v>149</v>
      </c>
      <c r="O17" t="s">
        <v>19</v>
      </c>
      <c r="P17" t="s">
        <v>19</v>
      </c>
      <c r="Q17" t="s">
        <v>19</v>
      </c>
    </row>
    <row r="18" spans="1:17" x14ac:dyDescent="0.2">
      <c r="A18" t="s">
        <v>28</v>
      </c>
      <c r="B18" t="s">
        <v>21</v>
      </c>
      <c r="C18" s="1">
        <v>46073.681921296295</v>
      </c>
      <c r="D18" t="s">
        <v>81</v>
      </c>
      <c r="E18" t="s">
        <v>82</v>
      </c>
      <c r="F18" t="s">
        <v>20</v>
      </c>
      <c r="G18" t="s">
        <v>20</v>
      </c>
      <c r="H18" t="s">
        <v>20</v>
      </c>
      <c r="I18" t="s">
        <v>19</v>
      </c>
      <c r="J18" t="s">
        <v>142</v>
      </c>
      <c r="K18">
        <v>1.78853434564446E+16</v>
      </c>
      <c r="L18">
        <v>224</v>
      </c>
      <c r="M18">
        <v>0</v>
      </c>
      <c r="N18">
        <v>220</v>
      </c>
      <c r="O18" t="s">
        <v>19</v>
      </c>
      <c r="P18" t="s">
        <v>19</v>
      </c>
      <c r="Q18" t="s">
        <v>19</v>
      </c>
    </row>
    <row r="19" spans="1:17" x14ac:dyDescent="0.2">
      <c r="A19" t="s">
        <v>28</v>
      </c>
      <c r="B19" t="s">
        <v>21</v>
      </c>
      <c r="C19" s="1">
        <v>46072.414270833331</v>
      </c>
      <c r="D19" t="s">
        <v>134</v>
      </c>
      <c r="E19" t="s">
        <v>82</v>
      </c>
      <c r="F19" t="s">
        <v>20</v>
      </c>
      <c r="G19" t="s">
        <v>20</v>
      </c>
      <c r="H19" t="s">
        <v>20</v>
      </c>
      <c r="I19" t="s">
        <v>143</v>
      </c>
      <c r="J19" t="s">
        <v>144</v>
      </c>
      <c r="K19">
        <v>1.79116944693259E+16</v>
      </c>
      <c r="L19">
        <v>96</v>
      </c>
      <c r="M19">
        <v>0</v>
      </c>
      <c r="N19">
        <v>94</v>
      </c>
      <c r="O19" t="s">
        <v>19</v>
      </c>
      <c r="P19" t="s">
        <v>19</v>
      </c>
      <c r="Q19" t="s">
        <v>19</v>
      </c>
    </row>
    <row r="20" spans="1:17" x14ac:dyDescent="0.2">
      <c r="A20" t="s">
        <v>28</v>
      </c>
      <c r="B20" t="s">
        <v>21</v>
      </c>
      <c r="C20" s="1">
        <v>46072.336805555555</v>
      </c>
      <c r="D20" t="s">
        <v>29</v>
      </c>
      <c r="E20" t="s">
        <v>29</v>
      </c>
      <c r="F20" t="s">
        <v>20</v>
      </c>
      <c r="G20" t="s">
        <v>20</v>
      </c>
      <c r="H20" t="s">
        <v>20</v>
      </c>
      <c r="I20" t="s">
        <v>145</v>
      </c>
      <c r="J20" t="s">
        <v>146</v>
      </c>
      <c r="K20">
        <v>1.80833800339777E+16</v>
      </c>
      <c r="L20">
        <v>1127</v>
      </c>
      <c r="M20">
        <v>62</v>
      </c>
      <c r="N20">
        <v>615</v>
      </c>
      <c r="O20" t="s">
        <v>19</v>
      </c>
      <c r="P20">
        <v>10.08</v>
      </c>
      <c r="Q20">
        <v>23</v>
      </c>
    </row>
    <row r="21" spans="1:17" x14ac:dyDescent="0.2">
      <c r="A21" t="s">
        <v>28</v>
      </c>
      <c r="B21" t="s">
        <v>21</v>
      </c>
      <c r="C21" s="1">
        <v>46070.388888888891</v>
      </c>
      <c r="D21" t="s">
        <v>74</v>
      </c>
      <c r="E21" t="s">
        <v>18</v>
      </c>
      <c r="F21" t="s">
        <v>20</v>
      </c>
      <c r="G21" t="s">
        <v>20</v>
      </c>
      <c r="H21" t="s">
        <v>20</v>
      </c>
      <c r="I21" t="s">
        <v>159</v>
      </c>
      <c r="J21" t="s">
        <v>160</v>
      </c>
      <c r="K21">
        <v>1.80908143280403E+16</v>
      </c>
      <c r="L21">
        <v>259</v>
      </c>
      <c r="M21">
        <v>8</v>
      </c>
      <c r="N21">
        <v>101</v>
      </c>
      <c r="O21" t="s">
        <v>19</v>
      </c>
      <c r="P21">
        <v>7.92</v>
      </c>
      <c r="Q21">
        <v>0</v>
      </c>
    </row>
    <row r="22" spans="1:17" x14ac:dyDescent="0.2">
      <c r="A22" t="s">
        <v>28</v>
      </c>
      <c r="B22" t="s">
        <v>21</v>
      </c>
      <c r="C22" s="1">
        <v>46066.488171296296</v>
      </c>
      <c r="D22" t="s">
        <v>134</v>
      </c>
      <c r="E22" t="s">
        <v>82</v>
      </c>
      <c r="F22" t="s">
        <v>20</v>
      </c>
      <c r="G22" t="s">
        <v>20</v>
      </c>
      <c r="H22" t="s">
        <v>20</v>
      </c>
      <c r="I22" t="s">
        <v>164</v>
      </c>
      <c r="J22" t="s">
        <v>165</v>
      </c>
      <c r="K22">
        <v>1.80819878629927E+16</v>
      </c>
      <c r="L22">
        <v>141</v>
      </c>
      <c r="M22">
        <v>0</v>
      </c>
      <c r="N22">
        <v>140</v>
      </c>
      <c r="O22" t="s">
        <v>19</v>
      </c>
      <c r="P22" t="s">
        <v>19</v>
      </c>
      <c r="Q22" t="s">
        <v>19</v>
      </c>
    </row>
    <row r="23" spans="1:17" x14ac:dyDescent="0.2">
      <c r="A23" t="s">
        <v>28</v>
      </c>
      <c r="B23" t="s">
        <v>21</v>
      </c>
      <c r="C23" s="1">
        <v>46065.420138888891</v>
      </c>
      <c r="D23" t="s">
        <v>74</v>
      </c>
      <c r="E23" t="s">
        <v>18</v>
      </c>
      <c r="F23" t="s">
        <v>20</v>
      </c>
      <c r="G23" t="s">
        <v>20</v>
      </c>
      <c r="H23" t="s">
        <v>20</v>
      </c>
      <c r="I23" t="s">
        <v>166</v>
      </c>
      <c r="J23" t="s">
        <v>167</v>
      </c>
      <c r="K23">
        <v>1.80983299219075E+16</v>
      </c>
      <c r="L23">
        <v>377</v>
      </c>
      <c r="M23">
        <v>19</v>
      </c>
      <c r="N23">
        <v>169</v>
      </c>
      <c r="O23" t="s">
        <v>19</v>
      </c>
      <c r="P23">
        <v>10.06</v>
      </c>
      <c r="Q23">
        <v>3</v>
      </c>
    </row>
    <row r="24" spans="1:17" x14ac:dyDescent="0.2">
      <c r="A24" t="s">
        <v>28</v>
      </c>
      <c r="B24" t="s">
        <v>21</v>
      </c>
      <c r="C24" s="1">
        <v>46063.427083333336</v>
      </c>
      <c r="D24" t="s">
        <v>74</v>
      </c>
      <c r="E24" t="s">
        <v>18</v>
      </c>
      <c r="F24" t="s">
        <v>20</v>
      </c>
      <c r="G24" t="s">
        <v>20</v>
      </c>
      <c r="H24" t="s">
        <v>20</v>
      </c>
      <c r="I24" t="s">
        <v>174</v>
      </c>
      <c r="J24" t="s">
        <v>175</v>
      </c>
      <c r="K24">
        <v>1.80726483444287E+16</v>
      </c>
      <c r="L24">
        <v>295</v>
      </c>
      <c r="M24">
        <v>6</v>
      </c>
      <c r="N24">
        <v>129</v>
      </c>
      <c r="O24" t="s">
        <v>19</v>
      </c>
      <c r="P24">
        <v>3.88</v>
      </c>
      <c r="Q24">
        <v>1</v>
      </c>
    </row>
    <row r="25" spans="1:17" x14ac:dyDescent="0.2">
      <c r="A25" t="s">
        <v>28</v>
      </c>
      <c r="B25" t="s">
        <v>21</v>
      </c>
      <c r="C25" s="1">
        <v>46058.502187500002</v>
      </c>
      <c r="D25" t="s">
        <v>74</v>
      </c>
      <c r="E25" t="s">
        <v>18</v>
      </c>
      <c r="F25" t="s">
        <v>20</v>
      </c>
      <c r="G25" t="s">
        <v>20</v>
      </c>
      <c r="H25" t="s">
        <v>20</v>
      </c>
      <c r="I25" t="s">
        <v>179</v>
      </c>
      <c r="J25" t="s">
        <v>180</v>
      </c>
      <c r="K25">
        <v>1.84409448521044E+16</v>
      </c>
      <c r="L25">
        <v>413</v>
      </c>
      <c r="M25">
        <v>11</v>
      </c>
      <c r="N25">
        <v>162</v>
      </c>
      <c r="O25" t="s">
        <v>19</v>
      </c>
      <c r="P25">
        <v>6.79</v>
      </c>
      <c r="Q25">
        <v>0</v>
      </c>
    </row>
    <row r="26" spans="1:17" x14ac:dyDescent="0.2">
      <c r="A26" t="s">
        <v>28</v>
      </c>
      <c r="B26" t="s">
        <v>21</v>
      </c>
      <c r="C26" s="1">
        <v>46057.380393518521</v>
      </c>
      <c r="D26" t="s">
        <v>29</v>
      </c>
      <c r="E26" t="s">
        <v>29</v>
      </c>
      <c r="F26" t="s">
        <v>20</v>
      </c>
      <c r="G26" t="s">
        <v>20</v>
      </c>
      <c r="H26" t="s">
        <v>20</v>
      </c>
      <c r="I26" t="s">
        <v>184</v>
      </c>
      <c r="J26" t="s">
        <v>185</v>
      </c>
      <c r="K26">
        <v>1.79954334929076E+16</v>
      </c>
      <c r="L26">
        <v>2500</v>
      </c>
      <c r="M26">
        <v>149</v>
      </c>
      <c r="N26">
        <v>1436</v>
      </c>
      <c r="O26" t="s">
        <v>19</v>
      </c>
      <c r="P26">
        <v>10.38</v>
      </c>
      <c r="Q26">
        <v>6</v>
      </c>
    </row>
    <row r="27" spans="1:17" x14ac:dyDescent="0.2">
      <c r="A27" t="s">
        <v>28</v>
      </c>
      <c r="B27" t="s">
        <v>21</v>
      </c>
      <c r="C27" s="1">
        <v>46052.36178240741</v>
      </c>
      <c r="D27" t="s">
        <v>29</v>
      </c>
      <c r="E27" t="s">
        <v>29</v>
      </c>
      <c r="F27" t="s">
        <v>20</v>
      </c>
      <c r="G27" t="s">
        <v>20</v>
      </c>
      <c r="H27" t="s">
        <v>20</v>
      </c>
      <c r="I27" t="s">
        <v>201</v>
      </c>
      <c r="J27" t="s">
        <v>202</v>
      </c>
      <c r="K27">
        <v>1.80909344450786E+16</v>
      </c>
      <c r="L27">
        <v>462</v>
      </c>
      <c r="M27">
        <v>13</v>
      </c>
      <c r="N27">
        <v>359</v>
      </c>
      <c r="O27" t="s">
        <v>19</v>
      </c>
      <c r="P27">
        <v>3.62</v>
      </c>
      <c r="Q27">
        <v>2</v>
      </c>
    </row>
    <row r="28" spans="1:17" x14ac:dyDescent="0.2">
      <c r="A28" t="s">
        <v>28</v>
      </c>
      <c r="B28" t="s">
        <v>21</v>
      </c>
      <c r="C28" s="1">
        <v>46050.378680555557</v>
      </c>
      <c r="D28" t="s">
        <v>74</v>
      </c>
      <c r="E28" t="s">
        <v>18</v>
      </c>
      <c r="F28" t="s">
        <v>20</v>
      </c>
      <c r="G28" t="s">
        <v>20</v>
      </c>
      <c r="H28" t="s">
        <v>20</v>
      </c>
      <c r="I28" t="s">
        <v>212</v>
      </c>
      <c r="J28" t="s">
        <v>213</v>
      </c>
      <c r="K28">
        <v>1.80752392676135E+16</v>
      </c>
      <c r="L28">
        <v>316</v>
      </c>
      <c r="M28">
        <v>10</v>
      </c>
      <c r="N28">
        <v>140</v>
      </c>
      <c r="O28" t="s">
        <v>19</v>
      </c>
      <c r="P28">
        <v>7.14</v>
      </c>
      <c r="Q28">
        <v>1</v>
      </c>
    </row>
    <row r="29" spans="1:17" x14ac:dyDescent="0.2">
      <c r="A29" t="s">
        <v>28</v>
      </c>
      <c r="B29" t="s">
        <v>21</v>
      </c>
      <c r="C29" s="1">
        <v>46049.399305555555</v>
      </c>
      <c r="D29" t="s">
        <v>29</v>
      </c>
      <c r="E29" t="s">
        <v>29</v>
      </c>
      <c r="F29" t="s">
        <v>20</v>
      </c>
      <c r="G29" t="s">
        <v>20</v>
      </c>
      <c r="H29" t="s">
        <v>20</v>
      </c>
      <c r="I29" t="s">
        <v>217</v>
      </c>
      <c r="J29" t="s">
        <v>218</v>
      </c>
      <c r="K29">
        <v>1.80828223879414E+16</v>
      </c>
      <c r="L29">
        <v>1150</v>
      </c>
      <c r="M29">
        <v>34</v>
      </c>
      <c r="N29">
        <v>727</v>
      </c>
      <c r="O29" t="s">
        <v>19</v>
      </c>
      <c r="P29">
        <v>4.68</v>
      </c>
      <c r="Q29">
        <v>7</v>
      </c>
    </row>
    <row r="30" spans="1:17" x14ac:dyDescent="0.2">
      <c r="A30" t="s">
        <v>28</v>
      </c>
      <c r="B30" t="s">
        <v>21</v>
      </c>
      <c r="C30" s="1">
        <v>46043.381932870368</v>
      </c>
      <c r="D30" t="s">
        <v>29</v>
      </c>
      <c r="E30" t="s">
        <v>29</v>
      </c>
      <c r="F30" t="s">
        <v>20</v>
      </c>
      <c r="G30" t="s">
        <v>20</v>
      </c>
      <c r="H30" t="s">
        <v>20</v>
      </c>
      <c r="I30" t="s">
        <v>231</v>
      </c>
      <c r="J30" t="s">
        <v>232</v>
      </c>
      <c r="K30">
        <v>1.80693249444484E+16</v>
      </c>
      <c r="L30">
        <v>416</v>
      </c>
      <c r="M30">
        <v>13</v>
      </c>
      <c r="N30">
        <v>326</v>
      </c>
      <c r="O30" t="s">
        <v>19</v>
      </c>
      <c r="P30">
        <v>3.99</v>
      </c>
      <c r="Q30">
        <v>1</v>
      </c>
    </row>
    <row r="31" spans="1:17" x14ac:dyDescent="0.2">
      <c r="A31" t="s">
        <v>28</v>
      </c>
      <c r="B31" t="s">
        <v>21</v>
      </c>
      <c r="C31" s="1">
        <v>46042.419699074075</v>
      </c>
      <c r="D31" t="s">
        <v>29</v>
      </c>
      <c r="E31" t="s">
        <v>29</v>
      </c>
      <c r="F31" t="s">
        <v>20</v>
      </c>
      <c r="G31" t="s">
        <v>20</v>
      </c>
      <c r="H31" t="s">
        <v>20</v>
      </c>
      <c r="I31" t="s">
        <v>233</v>
      </c>
      <c r="J31" t="s">
        <v>234</v>
      </c>
      <c r="K31">
        <v>1.8111331372628E+16</v>
      </c>
      <c r="L31">
        <v>229</v>
      </c>
      <c r="M31">
        <v>6</v>
      </c>
      <c r="N31">
        <v>100</v>
      </c>
      <c r="O31" t="s">
        <v>19</v>
      </c>
      <c r="P31">
        <v>6</v>
      </c>
      <c r="Q31">
        <v>0</v>
      </c>
    </row>
    <row r="32" spans="1:17" x14ac:dyDescent="0.2">
      <c r="A32" t="s">
        <v>28</v>
      </c>
      <c r="B32" t="s">
        <v>21</v>
      </c>
      <c r="C32" s="1">
        <v>46036.38076388889</v>
      </c>
      <c r="D32" t="s">
        <v>29</v>
      </c>
      <c r="E32" t="s">
        <v>29</v>
      </c>
      <c r="F32" t="s">
        <v>20</v>
      </c>
      <c r="G32" t="s">
        <v>20</v>
      </c>
      <c r="H32" t="s">
        <v>20</v>
      </c>
      <c r="I32" t="s">
        <v>241</v>
      </c>
      <c r="J32" t="s">
        <v>242</v>
      </c>
      <c r="K32">
        <v>1.81001068728512E+16</v>
      </c>
      <c r="L32">
        <v>422</v>
      </c>
      <c r="M32">
        <v>19</v>
      </c>
      <c r="N32">
        <v>324</v>
      </c>
      <c r="O32" t="s">
        <v>19</v>
      </c>
      <c r="P32">
        <v>5.86</v>
      </c>
      <c r="Q32">
        <v>0</v>
      </c>
    </row>
    <row r="33" spans="1:17" x14ac:dyDescent="0.2">
      <c r="A33" t="s">
        <v>28</v>
      </c>
      <c r="B33" t="s">
        <v>21</v>
      </c>
      <c r="C33" s="1">
        <v>46034.563946759263</v>
      </c>
      <c r="D33" t="s">
        <v>29</v>
      </c>
      <c r="E33" t="s">
        <v>29</v>
      </c>
      <c r="F33" t="s">
        <v>20</v>
      </c>
      <c r="G33" t="s">
        <v>20</v>
      </c>
      <c r="H33" t="s">
        <v>20</v>
      </c>
      <c r="I33" t="s">
        <v>249</v>
      </c>
      <c r="J33" t="s">
        <v>250</v>
      </c>
      <c r="K33">
        <v>1.80710717816224E+16</v>
      </c>
      <c r="L33">
        <v>480</v>
      </c>
      <c r="M33">
        <v>17</v>
      </c>
      <c r="N33">
        <v>352</v>
      </c>
      <c r="O33" t="s">
        <v>19</v>
      </c>
      <c r="P33">
        <v>4.83</v>
      </c>
      <c r="Q33">
        <v>0</v>
      </c>
    </row>
    <row r="34" spans="1:17" x14ac:dyDescent="0.2">
      <c r="A34" t="s">
        <v>28</v>
      </c>
      <c r="B34" t="s">
        <v>21</v>
      </c>
      <c r="C34" s="1">
        <v>46028.384467592594</v>
      </c>
      <c r="D34" t="s">
        <v>17</v>
      </c>
      <c r="E34" t="s">
        <v>18</v>
      </c>
      <c r="F34" t="s">
        <v>20</v>
      </c>
      <c r="G34" t="s">
        <v>20</v>
      </c>
      <c r="H34" t="s">
        <v>20</v>
      </c>
      <c r="I34" t="s">
        <v>257</v>
      </c>
      <c r="J34" t="s">
        <v>258</v>
      </c>
      <c r="K34">
        <v>1.79358634591301E+16</v>
      </c>
      <c r="L34">
        <v>332</v>
      </c>
      <c r="M34">
        <v>15</v>
      </c>
      <c r="N34">
        <v>195</v>
      </c>
      <c r="O34" t="s">
        <v>19</v>
      </c>
      <c r="P34">
        <v>7.69</v>
      </c>
      <c r="Q34">
        <v>0</v>
      </c>
    </row>
    <row r="35" spans="1:17" x14ac:dyDescent="0.2">
      <c r="A35" t="s">
        <v>28</v>
      </c>
      <c r="B35" t="s">
        <v>21</v>
      </c>
      <c r="C35" s="1">
        <v>46027.335081018522</v>
      </c>
      <c r="D35" t="s">
        <v>29</v>
      </c>
      <c r="E35" t="s">
        <v>29</v>
      </c>
      <c r="F35" t="s">
        <v>20</v>
      </c>
      <c r="G35" t="s">
        <v>20</v>
      </c>
      <c r="H35" t="s">
        <v>20</v>
      </c>
      <c r="I35" t="s">
        <v>263</v>
      </c>
      <c r="J35" t="s">
        <v>264</v>
      </c>
      <c r="K35">
        <v>1.85410623400515E+16</v>
      </c>
      <c r="L35">
        <v>436</v>
      </c>
      <c r="M35">
        <v>31</v>
      </c>
      <c r="N35">
        <v>330</v>
      </c>
      <c r="O35" t="s">
        <v>19</v>
      </c>
      <c r="P35">
        <v>9.39</v>
      </c>
      <c r="Q35">
        <v>1</v>
      </c>
    </row>
    <row r="36" spans="1:17" x14ac:dyDescent="0.2">
      <c r="A36" t="s">
        <v>271</v>
      </c>
      <c r="C36" s="1"/>
      <c r="L36">
        <f>SUM(L2:L35)</f>
        <v>18676</v>
      </c>
      <c r="M36">
        <f>SUM(M2:M35)</f>
        <v>794</v>
      </c>
      <c r="N36">
        <f>SUM(N2:N35)</f>
        <v>11076</v>
      </c>
      <c r="O36">
        <f>SUMIF(O2:O35,"&gt;0")</f>
        <v>0</v>
      </c>
      <c r="P36">
        <f>IFERROR(AVERAGE(P2:P35),"-")</f>
        <v>7.6396428571428583</v>
      </c>
      <c r="Q36">
        <f>SUM(Q2:Q35)</f>
        <v>92</v>
      </c>
    </row>
    <row r="37" spans="1:17" x14ac:dyDescent="0.2">
      <c r="A37" t="s">
        <v>32</v>
      </c>
      <c r="B37" t="s">
        <v>33</v>
      </c>
      <c r="C37" s="1">
        <v>46107.355590277781</v>
      </c>
      <c r="D37" t="s">
        <v>34</v>
      </c>
      <c r="E37" t="s">
        <v>18</v>
      </c>
      <c r="F37" t="s">
        <v>19</v>
      </c>
      <c r="G37" t="s">
        <v>19</v>
      </c>
      <c r="H37" t="s">
        <v>20</v>
      </c>
      <c r="I37" t="s">
        <v>35</v>
      </c>
      <c r="J37" t="s">
        <v>36</v>
      </c>
      <c r="K37" t="s">
        <v>37</v>
      </c>
      <c r="L37">
        <v>2028</v>
      </c>
      <c r="M37">
        <v>53</v>
      </c>
      <c r="N37">
        <v>1205</v>
      </c>
      <c r="O37">
        <v>1567</v>
      </c>
      <c r="P37">
        <v>4.4000000000000004</v>
      </c>
      <c r="Q37">
        <v>10</v>
      </c>
    </row>
    <row r="38" spans="1:17" x14ac:dyDescent="0.2">
      <c r="A38" t="s">
        <v>32</v>
      </c>
      <c r="B38" t="s">
        <v>33</v>
      </c>
      <c r="C38" s="1">
        <v>46107.333449074074</v>
      </c>
      <c r="D38" t="s">
        <v>38</v>
      </c>
      <c r="E38" t="s">
        <v>18</v>
      </c>
      <c r="F38" t="s">
        <v>19</v>
      </c>
      <c r="G38" t="s">
        <v>19</v>
      </c>
      <c r="H38" t="s">
        <v>20</v>
      </c>
      <c r="I38" t="s">
        <v>39</v>
      </c>
      <c r="J38" t="s">
        <v>40</v>
      </c>
      <c r="K38" t="s">
        <v>41</v>
      </c>
      <c r="L38">
        <v>649</v>
      </c>
      <c r="M38">
        <v>19</v>
      </c>
      <c r="N38">
        <v>415</v>
      </c>
      <c r="O38" t="s">
        <v>19</v>
      </c>
      <c r="P38">
        <v>4.58</v>
      </c>
      <c r="Q38">
        <v>5</v>
      </c>
    </row>
    <row r="39" spans="1:17" x14ac:dyDescent="0.2">
      <c r="A39" t="s">
        <v>32</v>
      </c>
      <c r="B39" t="s">
        <v>33</v>
      </c>
      <c r="C39" s="1">
        <v>46106.335474537038</v>
      </c>
      <c r="D39" t="s">
        <v>34</v>
      </c>
      <c r="E39" t="s">
        <v>18</v>
      </c>
      <c r="F39" t="s">
        <v>19</v>
      </c>
      <c r="G39" t="s">
        <v>19</v>
      </c>
      <c r="H39" t="s">
        <v>20</v>
      </c>
      <c r="I39" t="s">
        <v>44</v>
      </c>
      <c r="J39" t="s">
        <v>45</v>
      </c>
      <c r="K39" t="s">
        <v>46</v>
      </c>
      <c r="L39">
        <v>1298</v>
      </c>
      <c r="M39">
        <v>27</v>
      </c>
      <c r="N39">
        <v>809</v>
      </c>
      <c r="O39">
        <v>621</v>
      </c>
      <c r="P39">
        <v>3.34</v>
      </c>
      <c r="Q39">
        <v>6</v>
      </c>
    </row>
    <row r="40" spans="1:17" x14ac:dyDescent="0.2">
      <c r="A40" t="s">
        <v>32</v>
      </c>
      <c r="B40" t="s">
        <v>33</v>
      </c>
      <c r="C40" s="1">
        <v>46104.335740740738</v>
      </c>
      <c r="D40" t="s">
        <v>34</v>
      </c>
      <c r="E40" t="s">
        <v>18</v>
      </c>
      <c r="F40" t="s">
        <v>19</v>
      </c>
      <c r="G40" t="s">
        <v>19</v>
      </c>
      <c r="H40" t="s">
        <v>20</v>
      </c>
      <c r="I40" t="s">
        <v>50</v>
      </c>
      <c r="J40" t="s">
        <v>51</v>
      </c>
      <c r="K40" t="s">
        <v>52</v>
      </c>
      <c r="L40">
        <v>3992</v>
      </c>
      <c r="M40">
        <v>110</v>
      </c>
      <c r="N40">
        <v>2481</v>
      </c>
      <c r="O40">
        <v>2513</v>
      </c>
      <c r="P40">
        <v>4.43</v>
      </c>
      <c r="Q40">
        <v>19</v>
      </c>
    </row>
    <row r="41" spans="1:17" x14ac:dyDescent="0.2">
      <c r="A41" t="s">
        <v>32</v>
      </c>
      <c r="B41" t="s">
        <v>33</v>
      </c>
      <c r="C41" s="1">
        <v>46100.388067129628</v>
      </c>
      <c r="D41" t="s">
        <v>34</v>
      </c>
      <c r="E41" t="s">
        <v>18</v>
      </c>
      <c r="F41" t="s">
        <v>19</v>
      </c>
      <c r="G41" t="s">
        <v>19</v>
      </c>
      <c r="H41" t="s">
        <v>20</v>
      </c>
      <c r="I41" t="s">
        <v>63</v>
      </c>
      <c r="J41" t="s">
        <v>64</v>
      </c>
      <c r="K41" t="s">
        <v>65</v>
      </c>
      <c r="L41">
        <v>1542</v>
      </c>
      <c r="M41">
        <v>34</v>
      </c>
      <c r="N41">
        <v>954</v>
      </c>
      <c r="O41">
        <v>649</v>
      </c>
      <c r="P41">
        <v>3.56</v>
      </c>
      <c r="Q41">
        <v>4</v>
      </c>
    </row>
    <row r="42" spans="1:17" x14ac:dyDescent="0.2">
      <c r="A42" t="s">
        <v>32</v>
      </c>
      <c r="B42" t="s">
        <v>33</v>
      </c>
      <c r="C42" s="1">
        <v>46099.337384259263</v>
      </c>
      <c r="D42" t="s">
        <v>34</v>
      </c>
      <c r="E42" t="s">
        <v>18</v>
      </c>
      <c r="F42" t="s">
        <v>19</v>
      </c>
      <c r="G42" t="s">
        <v>19</v>
      </c>
      <c r="H42" t="s">
        <v>20</v>
      </c>
      <c r="I42" t="s">
        <v>68</v>
      </c>
      <c r="J42" t="s">
        <v>69</v>
      </c>
      <c r="K42" t="s">
        <v>70</v>
      </c>
      <c r="L42">
        <v>1998</v>
      </c>
      <c r="M42">
        <v>50</v>
      </c>
      <c r="N42">
        <v>1224</v>
      </c>
      <c r="O42">
        <v>987</v>
      </c>
      <c r="P42">
        <v>4.08</v>
      </c>
      <c r="Q42">
        <v>10</v>
      </c>
    </row>
    <row r="43" spans="1:17" x14ac:dyDescent="0.2">
      <c r="A43" t="s">
        <v>32</v>
      </c>
      <c r="B43" t="s">
        <v>33</v>
      </c>
      <c r="C43" s="1">
        <v>46098.384212962963</v>
      </c>
      <c r="D43" t="s">
        <v>77</v>
      </c>
      <c r="E43" t="s">
        <v>18</v>
      </c>
      <c r="F43" t="s">
        <v>19</v>
      </c>
      <c r="G43" t="s">
        <v>19</v>
      </c>
      <c r="H43" t="s">
        <v>20</v>
      </c>
      <c r="I43" t="s">
        <v>78</v>
      </c>
      <c r="J43" t="s">
        <v>79</v>
      </c>
      <c r="K43" t="s">
        <v>80</v>
      </c>
      <c r="L43">
        <v>5971</v>
      </c>
      <c r="M43">
        <v>30</v>
      </c>
      <c r="N43">
        <v>4327</v>
      </c>
      <c r="O43" t="s">
        <v>19</v>
      </c>
      <c r="P43">
        <v>0.69</v>
      </c>
      <c r="Q43">
        <v>6</v>
      </c>
    </row>
    <row r="44" spans="1:17" x14ac:dyDescent="0.2">
      <c r="A44" t="s">
        <v>32</v>
      </c>
      <c r="B44" t="s">
        <v>33</v>
      </c>
      <c r="C44" s="1">
        <v>46093.388773148145</v>
      </c>
      <c r="D44" t="s">
        <v>17</v>
      </c>
      <c r="E44" t="s">
        <v>18</v>
      </c>
      <c r="F44" t="s">
        <v>19</v>
      </c>
      <c r="G44" t="s">
        <v>19</v>
      </c>
      <c r="H44" t="s">
        <v>20</v>
      </c>
      <c r="I44" t="s">
        <v>84</v>
      </c>
      <c r="J44" t="s">
        <v>85</v>
      </c>
      <c r="K44" t="s">
        <v>86</v>
      </c>
      <c r="L44">
        <v>946</v>
      </c>
      <c r="M44">
        <v>16</v>
      </c>
      <c r="N44">
        <v>544</v>
      </c>
      <c r="O44" t="s">
        <v>19</v>
      </c>
      <c r="P44">
        <v>2.94</v>
      </c>
      <c r="Q44">
        <v>1</v>
      </c>
    </row>
    <row r="45" spans="1:17" x14ac:dyDescent="0.2">
      <c r="A45" t="s">
        <v>32</v>
      </c>
      <c r="B45" t="s">
        <v>33</v>
      </c>
      <c r="C45" s="1">
        <v>46091.36414351852</v>
      </c>
      <c r="D45" t="s">
        <v>17</v>
      </c>
      <c r="E45" t="s">
        <v>18</v>
      </c>
      <c r="F45" t="s">
        <v>19</v>
      </c>
      <c r="G45" t="s">
        <v>19</v>
      </c>
      <c r="H45" t="s">
        <v>20</v>
      </c>
      <c r="I45" t="s">
        <v>89</v>
      </c>
      <c r="J45" t="s">
        <v>90</v>
      </c>
      <c r="K45" t="s">
        <v>91</v>
      </c>
      <c r="L45">
        <v>2157</v>
      </c>
      <c r="M45">
        <v>51</v>
      </c>
      <c r="N45">
        <v>1324</v>
      </c>
      <c r="O45" t="s">
        <v>19</v>
      </c>
      <c r="P45">
        <v>3.85</v>
      </c>
      <c r="Q45">
        <v>15</v>
      </c>
    </row>
    <row r="46" spans="1:17" x14ac:dyDescent="0.2">
      <c r="A46" t="s">
        <v>32</v>
      </c>
      <c r="B46" t="s">
        <v>33</v>
      </c>
      <c r="C46" s="1">
        <v>46090.354444444441</v>
      </c>
      <c r="D46" t="s">
        <v>77</v>
      </c>
      <c r="E46" t="s">
        <v>18</v>
      </c>
      <c r="F46" t="s">
        <v>19</v>
      </c>
      <c r="G46" t="s">
        <v>19</v>
      </c>
      <c r="H46" t="s">
        <v>20</v>
      </c>
      <c r="I46" t="s">
        <v>92</v>
      </c>
      <c r="J46" t="s">
        <v>93</v>
      </c>
      <c r="K46" t="s">
        <v>94</v>
      </c>
      <c r="L46">
        <v>2237</v>
      </c>
      <c r="M46">
        <v>38</v>
      </c>
      <c r="N46">
        <v>1358</v>
      </c>
      <c r="O46" t="s">
        <v>19</v>
      </c>
      <c r="P46">
        <v>2.8</v>
      </c>
      <c r="Q46">
        <v>6</v>
      </c>
    </row>
    <row r="47" spans="1:17" x14ac:dyDescent="0.2">
      <c r="A47" t="s">
        <v>32</v>
      </c>
      <c r="B47" t="s">
        <v>33</v>
      </c>
      <c r="C47" s="1">
        <v>46087.334479166668</v>
      </c>
      <c r="D47" t="s">
        <v>77</v>
      </c>
      <c r="E47" t="s">
        <v>18</v>
      </c>
      <c r="F47" t="s">
        <v>19</v>
      </c>
      <c r="G47" t="s">
        <v>19</v>
      </c>
      <c r="H47" t="s">
        <v>20</v>
      </c>
      <c r="I47" t="s">
        <v>99</v>
      </c>
      <c r="J47" t="s">
        <v>100</v>
      </c>
      <c r="K47" t="s">
        <v>101</v>
      </c>
      <c r="L47">
        <v>3146</v>
      </c>
      <c r="M47">
        <v>79</v>
      </c>
      <c r="N47">
        <v>1896</v>
      </c>
      <c r="O47" t="s">
        <v>19</v>
      </c>
      <c r="P47">
        <v>4.17</v>
      </c>
      <c r="Q47">
        <v>5</v>
      </c>
    </row>
    <row r="48" spans="1:17" x14ac:dyDescent="0.2">
      <c r="A48" t="s">
        <v>32</v>
      </c>
      <c r="B48" t="s">
        <v>33</v>
      </c>
      <c r="C48" s="1">
        <v>46086.407384259262</v>
      </c>
      <c r="D48" t="s">
        <v>34</v>
      </c>
      <c r="E48" t="s">
        <v>18</v>
      </c>
      <c r="F48" t="s">
        <v>19</v>
      </c>
      <c r="G48" t="s">
        <v>19</v>
      </c>
      <c r="H48" t="s">
        <v>20</v>
      </c>
      <c r="I48" t="s">
        <v>102</v>
      </c>
      <c r="J48" t="s">
        <v>103</v>
      </c>
      <c r="K48" t="s">
        <v>104</v>
      </c>
      <c r="L48">
        <v>1526</v>
      </c>
      <c r="M48">
        <v>14</v>
      </c>
      <c r="N48">
        <v>962</v>
      </c>
      <c r="O48">
        <v>674</v>
      </c>
      <c r="P48">
        <v>1.46</v>
      </c>
      <c r="Q48">
        <v>1</v>
      </c>
    </row>
    <row r="49" spans="1:17" x14ac:dyDescent="0.2">
      <c r="A49" t="s">
        <v>32</v>
      </c>
      <c r="B49" t="s">
        <v>33</v>
      </c>
      <c r="C49" s="1">
        <v>46085.354699074072</v>
      </c>
      <c r="D49" t="s">
        <v>77</v>
      </c>
      <c r="E49" t="s">
        <v>18</v>
      </c>
      <c r="F49" t="s">
        <v>19</v>
      </c>
      <c r="G49" t="s">
        <v>19</v>
      </c>
      <c r="H49" t="s">
        <v>20</v>
      </c>
      <c r="I49" t="s">
        <v>112</v>
      </c>
      <c r="J49" t="s">
        <v>113</v>
      </c>
      <c r="K49" t="s">
        <v>114</v>
      </c>
      <c r="L49">
        <v>1255</v>
      </c>
      <c r="M49">
        <v>29</v>
      </c>
      <c r="N49">
        <v>765</v>
      </c>
      <c r="O49" t="s">
        <v>19</v>
      </c>
      <c r="P49">
        <v>3.79</v>
      </c>
      <c r="Q49">
        <v>4</v>
      </c>
    </row>
    <row r="50" spans="1:17" x14ac:dyDescent="0.2">
      <c r="A50" t="s">
        <v>32</v>
      </c>
      <c r="B50" t="s">
        <v>33</v>
      </c>
      <c r="C50" s="1">
        <v>46084.668391203704</v>
      </c>
      <c r="D50" t="s">
        <v>17</v>
      </c>
      <c r="E50" t="s">
        <v>18</v>
      </c>
      <c r="F50" t="s">
        <v>19</v>
      </c>
      <c r="G50" t="s">
        <v>19</v>
      </c>
      <c r="H50" t="s">
        <v>20</v>
      </c>
      <c r="I50" t="s">
        <v>115</v>
      </c>
      <c r="J50" t="s">
        <v>116</v>
      </c>
      <c r="K50" t="s">
        <v>117</v>
      </c>
      <c r="L50">
        <v>843</v>
      </c>
      <c r="M50">
        <v>17</v>
      </c>
      <c r="N50">
        <v>507</v>
      </c>
      <c r="O50" t="s">
        <v>19</v>
      </c>
      <c r="P50">
        <v>3.35</v>
      </c>
      <c r="Q50">
        <v>2</v>
      </c>
    </row>
    <row r="51" spans="1:17" x14ac:dyDescent="0.2">
      <c r="A51" t="s">
        <v>32</v>
      </c>
      <c r="B51" t="s">
        <v>33</v>
      </c>
      <c r="C51" s="1">
        <v>46079.354814814818</v>
      </c>
      <c r="D51" t="s">
        <v>77</v>
      </c>
      <c r="E51" t="s">
        <v>18</v>
      </c>
      <c r="F51" t="s">
        <v>19</v>
      </c>
      <c r="G51" t="s">
        <v>19</v>
      </c>
      <c r="H51" t="s">
        <v>20</v>
      </c>
      <c r="I51" t="s">
        <v>118</v>
      </c>
      <c r="J51" t="s">
        <v>119</v>
      </c>
      <c r="K51" t="s">
        <v>120</v>
      </c>
      <c r="L51">
        <v>1315</v>
      </c>
      <c r="M51">
        <v>31</v>
      </c>
      <c r="N51">
        <v>796</v>
      </c>
      <c r="O51" t="s">
        <v>19</v>
      </c>
      <c r="P51">
        <v>3.89</v>
      </c>
      <c r="Q51">
        <v>5</v>
      </c>
    </row>
    <row r="52" spans="1:17" x14ac:dyDescent="0.2">
      <c r="A52" t="s">
        <v>32</v>
      </c>
      <c r="B52" t="s">
        <v>33</v>
      </c>
      <c r="C52" s="1">
        <v>46079.333379629628</v>
      </c>
      <c r="D52" t="s">
        <v>38</v>
      </c>
      <c r="E52" t="s">
        <v>18</v>
      </c>
      <c r="F52" t="s">
        <v>19</v>
      </c>
      <c r="G52" t="s">
        <v>19</v>
      </c>
      <c r="H52" t="s">
        <v>20</v>
      </c>
      <c r="I52" t="s">
        <v>123</v>
      </c>
      <c r="J52" t="s">
        <v>124</v>
      </c>
      <c r="K52" t="s">
        <v>125</v>
      </c>
      <c r="L52">
        <v>559</v>
      </c>
      <c r="M52">
        <v>19</v>
      </c>
      <c r="N52">
        <v>378</v>
      </c>
      <c r="O52" t="s">
        <v>19</v>
      </c>
      <c r="P52">
        <v>5.03</v>
      </c>
      <c r="Q52">
        <v>2</v>
      </c>
    </row>
    <row r="53" spans="1:17" x14ac:dyDescent="0.2">
      <c r="A53" t="s">
        <v>32</v>
      </c>
      <c r="B53" t="s">
        <v>33</v>
      </c>
      <c r="C53" s="1">
        <v>46078.475069444445</v>
      </c>
      <c r="D53" t="s">
        <v>126</v>
      </c>
      <c r="E53" t="s">
        <v>18</v>
      </c>
      <c r="F53" t="s">
        <v>19</v>
      </c>
      <c r="G53" t="s">
        <v>19</v>
      </c>
      <c r="H53" t="s">
        <v>127</v>
      </c>
      <c r="I53" t="s">
        <v>128</v>
      </c>
      <c r="J53" t="s">
        <v>129</v>
      </c>
      <c r="K53" t="s">
        <v>130</v>
      </c>
      <c r="L53">
        <v>1037</v>
      </c>
      <c r="M53">
        <v>18</v>
      </c>
      <c r="N53">
        <v>729</v>
      </c>
      <c r="O53" t="s">
        <v>19</v>
      </c>
      <c r="P53">
        <v>2.4700000000000002</v>
      </c>
      <c r="Q53">
        <v>3</v>
      </c>
    </row>
    <row r="54" spans="1:17" x14ac:dyDescent="0.2">
      <c r="A54" t="s">
        <v>32</v>
      </c>
      <c r="B54" t="s">
        <v>33</v>
      </c>
      <c r="C54" s="1">
        <v>46076.353877314818</v>
      </c>
      <c r="D54" t="s">
        <v>17</v>
      </c>
      <c r="E54" t="s">
        <v>18</v>
      </c>
      <c r="F54" t="s">
        <v>19</v>
      </c>
      <c r="G54" t="s">
        <v>19</v>
      </c>
      <c r="H54" t="s">
        <v>20</v>
      </c>
      <c r="I54" t="s">
        <v>138</v>
      </c>
      <c r="J54" t="s">
        <v>139</v>
      </c>
      <c r="K54" t="s">
        <v>140</v>
      </c>
      <c r="L54">
        <v>3369</v>
      </c>
      <c r="M54">
        <v>45</v>
      </c>
      <c r="N54">
        <v>1745</v>
      </c>
      <c r="O54" t="s">
        <v>19</v>
      </c>
      <c r="P54">
        <v>2.58</v>
      </c>
      <c r="Q54">
        <v>1</v>
      </c>
    </row>
    <row r="55" spans="1:17" x14ac:dyDescent="0.2">
      <c r="A55" t="s">
        <v>32</v>
      </c>
      <c r="B55" t="s">
        <v>33</v>
      </c>
      <c r="C55" s="1">
        <v>46072.314386574071</v>
      </c>
      <c r="D55" t="s">
        <v>34</v>
      </c>
      <c r="E55" t="s">
        <v>18</v>
      </c>
      <c r="F55" t="s">
        <v>19</v>
      </c>
      <c r="G55" t="s">
        <v>19</v>
      </c>
      <c r="H55" t="s">
        <v>20</v>
      </c>
      <c r="I55" t="s">
        <v>147</v>
      </c>
      <c r="J55" t="s">
        <v>148</v>
      </c>
      <c r="K55" t="s">
        <v>149</v>
      </c>
      <c r="L55">
        <v>4621</v>
      </c>
      <c r="M55">
        <v>85</v>
      </c>
      <c r="N55">
        <v>2710</v>
      </c>
      <c r="O55">
        <v>1908</v>
      </c>
      <c r="P55">
        <v>3.14</v>
      </c>
      <c r="Q55">
        <v>8</v>
      </c>
    </row>
    <row r="56" spans="1:17" x14ac:dyDescent="0.2">
      <c r="A56" t="s">
        <v>32</v>
      </c>
      <c r="B56" t="s">
        <v>33</v>
      </c>
      <c r="C56" s="1">
        <v>46071.292384259257</v>
      </c>
      <c r="D56" t="s">
        <v>17</v>
      </c>
      <c r="E56" t="s">
        <v>18</v>
      </c>
      <c r="F56" t="s">
        <v>19</v>
      </c>
      <c r="G56" t="s">
        <v>19</v>
      </c>
      <c r="H56" t="s">
        <v>20</v>
      </c>
      <c r="I56" t="s">
        <v>153</v>
      </c>
      <c r="J56" t="s">
        <v>154</v>
      </c>
      <c r="K56" t="s">
        <v>155</v>
      </c>
      <c r="L56">
        <v>991</v>
      </c>
      <c r="M56">
        <v>13</v>
      </c>
      <c r="N56">
        <v>537</v>
      </c>
      <c r="O56" t="s">
        <v>19</v>
      </c>
      <c r="P56">
        <v>2.42</v>
      </c>
      <c r="Q56">
        <v>4</v>
      </c>
    </row>
    <row r="57" spans="1:17" x14ac:dyDescent="0.2">
      <c r="A57" t="s">
        <v>32</v>
      </c>
      <c r="B57" t="s">
        <v>33</v>
      </c>
      <c r="C57" s="1">
        <v>46070.39638888889</v>
      </c>
      <c r="D57" t="s">
        <v>77</v>
      </c>
      <c r="E57" t="s">
        <v>18</v>
      </c>
      <c r="F57" t="s">
        <v>19</v>
      </c>
      <c r="G57" t="s">
        <v>19</v>
      </c>
      <c r="H57" t="s">
        <v>20</v>
      </c>
      <c r="I57" t="s">
        <v>156</v>
      </c>
      <c r="J57" t="s">
        <v>157</v>
      </c>
      <c r="K57" t="s">
        <v>158</v>
      </c>
      <c r="L57">
        <v>1223</v>
      </c>
      <c r="M57">
        <v>23</v>
      </c>
      <c r="N57">
        <v>719</v>
      </c>
      <c r="O57" t="s">
        <v>19</v>
      </c>
      <c r="P57">
        <v>3.2</v>
      </c>
      <c r="Q57">
        <v>4</v>
      </c>
    </row>
    <row r="58" spans="1:17" x14ac:dyDescent="0.2">
      <c r="A58" t="s">
        <v>32</v>
      </c>
      <c r="B58" t="s">
        <v>33</v>
      </c>
      <c r="C58" s="1">
        <v>46069.354907407411</v>
      </c>
      <c r="D58" t="s">
        <v>77</v>
      </c>
      <c r="E58" t="s">
        <v>18</v>
      </c>
      <c r="F58" t="s">
        <v>19</v>
      </c>
      <c r="G58" t="s">
        <v>19</v>
      </c>
      <c r="H58" t="s">
        <v>20</v>
      </c>
      <c r="I58" t="s">
        <v>161</v>
      </c>
      <c r="J58" t="s">
        <v>162</v>
      </c>
      <c r="K58" t="s">
        <v>163</v>
      </c>
      <c r="L58">
        <v>1492</v>
      </c>
      <c r="M58">
        <v>29</v>
      </c>
      <c r="N58">
        <v>891</v>
      </c>
      <c r="O58" t="s">
        <v>19</v>
      </c>
      <c r="P58">
        <v>3.25</v>
      </c>
      <c r="Q58">
        <v>11</v>
      </c>
    </row>
    <row r="59" spans="1:17" x14ac:dyDescent="0.2">
      <c r="A59" t="s">
        <v>32</v>
      </c>
      <c r="B59" t="s">
        <v>33</v>
      </c>
      <c r="C59" s="1">
        <v>46065.374062499999</v>
      </c>
      <c r="D59" t="s">
        <v>77</v>
      </c>
      <c r="E59" t="s">
        <v>18</v>
      </c>
      <c r="F59" t="s">
        <v>19</v>
      </c>
      <c r="G59" t="s">
        <v>19</v>
      </c>
      <c r="H59" t="s">
        <v>20</v>
      </c>
      <c r="I59" t="s">
        <v>168</v>
      </c>
      <c r="J59" t="s">
        <v>169</v>
      </c>
      <c r="K59" t="s">
        <v>170</v>
      </c>
      <c r="L59">
        <v>999</v>
      </c>
      <c r="M59">
        <v>17</v>
      </c>
      <c r="N59">
        <v>613</v>
      </c>
      <c r="O59" t="s">
        <v>19</v>
      </c>
      <c r="P59">
        <v>2.77</v>
      </c>
      <c r="Q59">
        <v>3</v>
      </c>
    </row>
    <row r="60" spans="1:17" x14ac:dyDescent="0.2">
      <c r="A60" t="s">
        <v>32</v>
      </c>
      <c r="B60" t="s">
        <v>33</v>
      </c>
      <c r="C60" s="1">
        <v>46064.636932870373</v>
      </c>
      <c r="D60" t="s">
        <v>17</v>
      </c>
      <c r="E60" t="s">
        <v>18</v>
      </c>
      <c r="F60" t="s">
        <v>19</v>
      </c>
      <c r="G60" t="s">
        <v>19</v>
      </c>
      <c r="H60" t="s">
        <v>20</v>
      </c>
      <c r="I60" t="s">
        <v>171</v>
      </c>
      <c r="J60" t="s">
        <v>172</v>
      </c>
      <c r="K60" t="s">
        <v>173</v>
      </c>
      <c r="L60">
        <v>835</v>
      </c>
      <c r="M60">
        <v>26</v>
      </c>
      <c r="N60">
        <v>469</v>
      </c>
      <c r="O60" t="s">
        <v>19</v>
      </c>
      <c r="P60">
        <v>5.54</v>
      </c>
      <c r="Q60">
        <v>9</v>
      </c>
    </row>
    <row r="61" spans="1:17" x14ac:dyDescent="0.2">
      <c r="A61" t="s">
        <v>32</v>
      </c>
      <c r="B61" t="s">
        <v>33</v>
      </c>
      <c r="C61" s="1">
        <v>46063.366018518522</v>
      </c>
      <c r="D61" t="s">
        <v>77</v>
      </c>
      <c r="E61" t="s">
        <v>18</v>
      </c>
      <c r="F61" t="s">
        <v>19</v>
      </c>
      <c r="G61" t="s">
        <v>19</v>
      </c>
      <c r="H61" t="s">
        <v>20</v>
      </c>
      <c r="I61" t="s">
        <v>176</v>
      </c>
      <c r="J61" t="s">
        <v>177</v>
      </c>
      <c r="K61" t="s">
        <v>178</v>
      </c>
      <c r="L61">
        <v>1496</v>
      </c>
      <c r="M61">
        <v>39</v>
      </c>
      <c r="N61">
        <v>893</v>
      </c>
      <c r="O61" t="s">
        <v>19</v>
      </c>
      <c r="P61">
        <v>4.37</v>
      </c>
      <c r="Q61">
        <v>10</v>
      </c>
    </row>
    <row r="62" spans="1:17" x14ac:dyDescent="0.2">
      <c r="A62" t="s">
        <v>32</v>
      </c>
      <c r="B62" t="s">
        <v>33</v>
      </c>
      <c r="C62" s="1">
        <v>46058.433252314811</v>
      </c>
      <c r="D62" t="s">
        <v>77</v>
      </c>
      <c r="E62" t="s">
        <v>18</v>
      </c>
      <c r="F62" t="s">
        <v>19</v>
      </c>
      <c r="G62" t="s">
        <v>19</v>
      </c>
      <c r="H62" t="s">
        <v>20</v>
      </c>
      <c r="I62" t="s">
        <v>181</v>
      </c>
      <c r="J62" t="s">
        <v>182</v>
      </c>
      <c r="K62" t="s">
        <v>183</v>
      </c>
      <c r="L62">
        <v>1081</v>
      </c>
      <c r="M62">
        <v>14</v>
      </c>
      <c r="N62">
        <v>700</v>
      </c>
      <c r="O62" t="s">
        <v>19</v>
      </c>
      <c r="P62">
        <v>2</v>
      </c>
      <c r="Q62">
        <v>3</v>
      </c>
    </row>
    <row r="63" spans="1:17" x14ac:dyDescent="0.2">
      <c r="A63" t="s">
        <v>32</v>
      </c>
      <c r="B63" t="s">
        <v>33</v>
      </c>
      <c r="C63" s="1">
        <v>46057.355983796297</v>
      </c>
      <c r="D63" t="s">
        <v>34</v>
      </c>
      <c r="E63" t="s">
        <v>18</v>
      </c>
      <c r="F63" t="s">
        <v>19</v>
      </c>
      <c r="G63" t="s">
        <v>19</v>
      </c>
      <c r="H63" t="s">
        <v>20</v>
      </c>
      <c r="I63" t="s">
        <v>186</v>
      </c>
      <c r="J63" t="s">
        <v>187</v>
      </c>
      <c r="K63" t="s">
        <v>188</v>
      </c>
      <c r="L63">
        <v>2649</v>
      </c>
      <c r="M63">
        <v>71</v>
      </c>
      <c r="N63">
        <v>1590</v>
      </c>
      <c r="O63">
        <v>1015</v>
      </c>
      <c r="P63">
        <v>4.47</v>
      </c>
      <c r="Q63">
        <v>10</v>
      </c>
    </row>
    <row r="64" spans="1:17" x14ac:dyDescent="0.2">
      <c r="A64" t="s">
        <v>32</v>
      </c>
      <c r="B64" t="s">
        <v>33</v>
      </c>
      <c r="C64" s="1">
        <v>46056.37703703704</v>
      </c>
      <c r="D64" t="s">
        <v>34</v>
      </c>
      <c r="E64" t="s">
        <v>18</v>
      </c>
      <c r="F64" t="s">
        <v>19</v>
      </c>
      <c r="G64" t="s">
        <v>19</v>
      </c>
      <c r="H64" t="s">
        <v>20</v>
      </c>
      <c r="I64" t="s">
        <v>192</v>
      </c>
      <c r="J64" t="s">
        <v>193</v>
      </c>
      <c r="K64" t="s">
        <v>194</v>
      </c>
      <c r="L64">
        <v>2280</v>
      </c>
      <c r="M64">
        <v>46</v>
      </c>
      <c r="N64">
        <v>1414</v>
      </c>
      <c r="O64">
        <v>987</v>
      </c>
      <c r="P64">
        <v>3.25</v>
      </c>
      <c r="Q64">
        <v>10</v>
      </c>
    </row>
    <row r="65" spans="1:17" x14ac:dyDescent="0.2">
      <c r="A65" t="s">
        <v>32</v>
      </c>
      <c r="B65" t="s">
        <v>33</v>
      </c>
      <c r="C65" s="1">
        <v>46055.412476851852</v>
      </c>
      <c r="D65" t="s">
        <v>17</v>
      </c>
      <c r="E65" t="s">
        <v>18</v>
      </c>
      <c r="F65" t="s">
        <v>19</v>
      </c>
      <c r="G65" t="s">
        <v>19</v>
      </c>
      <c r="H65" t="s">
        <v>20</v>
      </c>
      <c r="I65" t="s">
        <v>198</v>
      </c>
      <c r="J65" t="s">
        <v>199</v>
      </c>
      <c r="K65" t="s">
        <v>200</v>
      </c>
      <c r="L65">
        <v>1489</v>
      </c>
      <c r="M65">
        <v>30</v>
      </c>
      <c r="N65">
        <v>907</v>
      </c>
      <c r="O65" t="s">
        <v>19</v>
      </c>
      <c r="P65">
        <v>3.31</v>
      </c>
      <c r="Q65">
        <v>7</v>
      </c>
    </row>
    <row r="66" spans="1:17" x14ac:dyDescent="0.2">
      <c r="A66" t="s">
        <v>32</v>
      </c>
      <c r="B66" t="s">
        <v>33</v>
      </c>
      <c r="C66" s="1">
        <v>46052.360532407409</v>
      </c>
      <c r="D66" t="s">
        <v>34</v>
      </c>
      <c r="E66" t="s">
        <v>18</v>
      </c>
      <c r="F66" t="s">
        <v>19</v>
      </c>
      <c r="G66" t="s">
        <v>19</v>
      </c>
      <c r="H66" t="s">
        <v>20</v>
      </c>
      <c r="I66" t="s">
        <v>203</v>
      </c>
      <c r="J66" t="s">
        <v>204</v>
      </c>
      <c r="K66" t="s">
        <v>205</v>
      </c>
      <c r="L66">
        <v>1572</v>
      </c>
      <c r="M66">
        <v>33</v>
      </c>
      <c r="N66">
        <v>941</v>
      </c>
      <c r="O66">
        <v>662</v>
      </c>
      <c r="P66">
        <v>3.51</v>
      </c>
      <c r="Q66">
        <v>5</v>
      </c>
    </row>
    <row r="67" spans="1:17" x14ac:dyDescent="0.2">
      <c r="A67" t="s">
        <v>32</v>
      </c>
      <c r="B67" t="s">
        <v>33</v>
      </c>
      <c r="C67" s="1">
        <v>46051.333564814813</v>
      </c>
      <c r="D67" t="s">
        <v>38</v>
      </c>
      <c r="E67" t="s">
        <v>18</v>
      </c>
      <c r="F67" t="s">
        <v>19</v>
      </c>
      <c r="G67" t="s">
        <v>19</v>
      </c>
      <c r="H67" t="s">
        <v>20</v>
      </c>
      <c r="I67" t="s">
        <v>209</v>
      </c>
      <c r="J67" t="s">
        <v>210</v>
      </c>
      <c r="K67" t="s">
        <v>211</v>
      </c>
      <c r="L67">
        <v>895</v>
      </c>
      <c r="M67">
        <v>20</v>
      </c>
      <c r="N67">
        <v>479</v>
      </c>
      <c r="O67" t="s">
        <v>19</v>
      </c>
      <c r="P67">
        <v>4.18</v>
      </c>
      <c r="Q67">
        <v>4</v>
      </c>
    </row>
    <row r="68" spans="1:17" x14ac:dyDescent="0.2">
      <c r="A68" t="s">
        <v>32</v>
      </c>
      <c r="B68" t="s">
        <v>33</v>
      </c>
      <c r="C68" s="1">
        <v>46050.354247685187</v>
      </c>
      <c r="D68" t="s">
        <v>77</v>
      </c>
      <c r="E68" t="s">
        <v>18</v>
      </c>
      <c r="F68" t="s">
        <v>19</v>
      </c>
      <c r="G68" t="s">
        <v>19</v>
      </c>
      <c r="H68" t="s">
        <v>20</v>
      </c>
      <c r="I68" t="s">
        <v>214</v>
      </c>
      <c r="J68" t="s">
        <v>215</v>
      </c>
      <c r="K68" t="s">
        <v>216</v>
      </c>
      <c r="L68">
        <v>1556</v>
      </c>
      <c r="M68">
        <v>43</v>
      </c>
      <c r="N68">
        <v>973</v>
      </c>
      <c r="O68" t="s">
        <v>19</v>
      </c>
      <c r="P68">
        <v>4.42</v>
      </c>
      <c r="Q68">
        <v>15</v>
      </c>
    </row>
    <row r="69" spans="1:17" x14ac:dyDescent="0.2">
      <c r="A69" t="s">
        <v>32</v>
      </c>
      <c r="B69" t="s">
        <v>33</v>
      </c>
      <c r="C69" s="1">
        <v>46049.397349537037</v>
      </c>
      <c r="D69" t="s">
        <v>34</v>
      </c>
      <c r="E69" t="s">
        <v>18</v>
      </c>
      <c r="F69" t="s">
        <v>19</v>
      </c>
      <c r="G69" t="s">
        <v>19</v>
      </c>
      <c r="H69" t="s">
        <v>20</v>
      </c>
      <c r="I69" t="s">
        <v>219</v>
      </c>
      <c r="J69" t="s">
        <v>220</v>
      </c>
      <c r="K69" t="s">
        <v>221</v>
      </c>
      <c r="L69">
        <v>2799</v>
      </c>
      <c r="M69">
        <v>53</v>
      </c>
      <c r="N69">
        <v>1763</v>
      </c>
      <c r="O69">
        <v>1396</v>
      </c>
      <c r="P69">
        <v>3.01</v>
      </c>
      <c r="Q69">
        <v>4</v>
      </c>
    </row>
    <row r="70" spans="1:17" x14ac:dyDescent="0.2">
      <c r="A70" t="s">
        <v>32</v>
      </c>
      <c r="B70" t="s">
        <v>33</v>
      </c>
      <c r="C70" s="1">
        <v>46043.383356481485</v>
      </c>
      <c r="D70" t="s">
        <v>34</v>
      </c>
      <c r="E70" t="s">
        <v>18</v>
      </c>
      <c r="F70" t="s">
        <v>19</v>
      </c>
      <c r="G70" t="s">
        <v>19</v>
      </c>
      <c r="H70" t="s">
        <v>20</v>
      </c>
      <c r="I70" t="s">
        <v>225</v>
      </c>
      <c r="J70" t="s">
        <v>226</v>
      </c>
      <c r="K70" t="s">
        <v>227</v>
      </c>
      <c r="L70">
        <v>1592</v>
      </c>
      <c r="M70">
        <v>36</v>
      </c>
      <c r="N70">
        <v>983</v>
      </c>
      <c r="O70">
        <v>756</v>
      </c>
      <c r="P70">
        <v>3.66</v>
      </c>
      <c r="Q70">
        <v>5</v>
      </c>
    </row>
    <row r="71" spans="1:17" x14ac:dyDescent="0.2">
      <c r="A71" t="s">
        <v>32</v>
      </c>
      <c r="B71" t="s">
        <v>33</v>
      </c>
      <c r="C71" s="1">
        <v>46042.343784722223</v>
      </c>
      <c r="D71" t="s">
        <v>38</v>
      </c>
      <c r="E71" t="s">
        <v>18</v>
      </c>
      <c r="F71" t="s">
        <v>19</v>
      </c>
      <c r="G71" t="s">
        <v>19</v>
      </c>
      <c r="H71" t="s">
        <v>20</v>
      </c>
      <c r="I71" t="s">
        <v>235</v>
      </c>
      <c r="J71" t="s">
        <v>236</v>
      </c>
      <c r="K71" t="s">
        <v>237</v>
      </c>
      <c r="L71">
        <v>1703</v>
      </c>
      <c r="M71">
        <v>6</v>
      </c>
      <c r="N71">
        <v>1161</v>
      </c>
      <c r="O71" t="s">
        <v>19</v>
      </c>
      <c r="P71">
        <v>0.52</v>
      </c>
      <c r="Q71">
        <v>0</v>
      </c>
    </row>
    <row r="72" spans="1:17" x14ac:dyDescent="0.2">
      <c r="A72" t="s">
        <v>32</v>
      </c>
      <c r="B72" t="s">
        <v>33</v>
      </c>
      <c r="C72" s="1">
        <v>46037.333819444444</v>
      </c>
      <c r="D72" t="s">
        <v>17</v>
      </c>
      <c r="E72" t="s">
        <v>18</v>
      </c>
      <c r="F72" t="s">
        <v>19</v>
      </c>
      <c r="G72" t="s">
        <v>19</v>
      </c>
      <c r="H72" t="s">
        <v>20</v>
      </c>
      <c r="I72" t="s">
        <v>238</v>
      </c>
      <c r="J72" t="s">
        <v>239</v>
      </c>
      <c r="K72" t="s">
        <v>240</v>
      </c>
      <c r="L72">
        <v>1325</v>
      </c>
      <c r="M72">
        <v>32</v>
      </c>
      <c r="N72">
        <v>738</v>
      </c>
      <c r="O72" t="s">
        <v>19</v>
      </c>
      <c r="P72">
        <v>4.34</v>
      </c>
      <c r="Q72">
        <v>11</v>
      </c>
    </row>
    <row r="73" spans="1:17" x14ac:dyDescent="0.2">
      <c r="A73" t="s">
        <v>32</v>
      </c>
      <c r="B73" t="s">
        <v>33</v>
      </c>
      <c r="C73" s="1">
        <v>46036.314513888887</v>
      </c>
      <c r="D73" t="s">
        <v>34</v>
      </c>
      <c r="E73" t="s">
        <v>18</v>
      </c>
      <c r="F73" t="s">
        <v>19</v>
      </c>
      <c r="G73" t="s">
        <v>19</v>
      </c>
      <c r="H73" t="s">
        <v>20</v>
      </c>
      <c r="I73" t="s">
        <v>243</v>
      </c>
      <c r="J73" t="s">
        <v>244</v>
      </c>
      <c r="K73" t="s">
        <v>245</v>
      </c>
      <c r="L73">
        <v>1397</v>
      </c>
      <c r="M73">
        <v>34</v>
      </c>
      <c r="N73">
        <v>838</v>
      </c>
      <c r="O73">
        <v>742</v>
      </c>
      <c r="P73">
        <v>4.0599999999999996</v>
      </c>
      <c r="Q73">
        <v>9</v>
      </c>
    </row>
    <row r="74" spans="1:17" x14ac:dyDescent="0.2">
      <c r="A74" t="s">
        <v>32</v>
      </c>
      <c r="B74" t="s">
        <v>33</v>
      </c>
      <c r="C74" s="1">
        <v>46034.563333333332</v>
      </c>
      <c r="D74" t="s">
        <v>34</v>
      </c>
      <c r="E74" t="s">
        <v>18</v>
      </c>
      <c r="F74" t="s">
        <v>19</v>
      </c>
      <c r="G74" t="s">
        <v>19</v>
      </c>
      <c r="H74" t="s">
        <v>20</v>
      </c>
      <c r="I74" t="s">
        <v>251</v>
      </c>
      <c r="J74" t="s">
        <v>252</v>
      </c>
      <c r="K74" t="s">
        <v>253</v>
      </c>
      <c r="L74">
        <v>1719</v>
      </c>
      <c r="M74">
        <v>34</v>
      </c>
      <c r="N74">
        <v>1036</v>
      </c>
      <c r="O74">
        <v>651</v>
      </c>
      <c r="P74">
        <v>3.28</v>
      </c>
      <c r="Q74">
        <v>4</v>
      </c>
    </row>
    <row r="75" spans="1:17" ht="17" customHeight="1" x14ac:dyDescent="0.2">
      <c r="A75" t="s">
        <v>32</v>
      </c>
      <c r="B75" t="s">
        <v>33</v>
      </c>
      <c r="C75" s="1">
        <v>46028.354305555556</v>
      </c>
      <c r="D75" t="s">
        <v>259</v>
      </c>
      <c r="E75" t="s">
        <v>18</v>
      </c>
      <c r="F75" t="s">
        <v>19</v>
      </c>
      <c r="G75" t="s">
        <v>19</v>
      </c>
      <c r="H75" t="s">
        <v>20</v>
      </c>
      <c r="I75" t="s">
        <v>260</v>
      </c>
      <c r="J75" t="s">
        <v>261</v>
      </c>
      <c r="K75" t="s">
        <v>262</v>
      </c>
      <c r="L75">
        <v>1421</v>
      </c>
      <c r="M75">
        <v>7</v>
      </c>
      <c r="N75">
        <v>1008</v>
      </c>
      <c r="O75" t="s">
        <v>19</v>
      </c>
      <c r="P75">
        <v>0.69</v>
      </c>
      <c r="Q75">
        <v>1</v>
      </c>
    </row>
    <row r="76" spans="1:17" ht="18" customHeight="1" x14ac:dyDescent="0.2">
      <c r="A76" t="s">
        <v>32</v>
      </c>
      <c r="B76" t="s">
        <v>33</v>
      </c>
      <c r="C76" s="1">
        <v>46027.334826388891</v>
      </c>
      <c r="D76" t="s">
        <v>34</v>
      </c>
      <c r="E76" t="s">
        <v>18</v>
      </c>
      <c r="F76" t="s">
        <v>19</v>
      </c>
      <c r="G76" t="s">
        <v>19</v>
      </c>
      <c r="H76" t="s">
        <v>20</v>
      </c>
      <c r="I76" t="s">
        <v>265</v>
      </c>
      <c r="J76" t="s">
        <v>266</v>
      </c>
      <c r="K76" t="s">
        <v>267</v>
      </c>
      <c r="L76">
        <v>2674</v>
      </c>
      <c r="M76">
        <v>72</v>
      </c>
      <c r="N76">
        <v>1441</v>
      </c>
      <c r="O76">
        <v>1042</v>
      </c>
      <c r="P76">
        <v>5</v>
      </c>
      <c r="Q76">
        <v>17</v>
      </c>
    </row>
    <row r="77" spans="1:17" x14ac:dyDescent="0.2">
      <c r="A77" t="s">
        <v>272</v>
      </c>
      <c r="C77" s="1"/>
      <c r="L77">
        <f>SUM(L37:L76)</f>
        <v>73677</v>
      </c>
      <c r="M77">
        <f>SUM(M37:M76)</f>
        <v>1443</v>
      </c>
      <c r="N77">
        <f>SUM(N37:N76)</f>
        <v>45223</v>
      </c>
      <c r="O77">
        <f>SUMIF(O37:O76,"&gt;0")</f>
        <v>16170</v>
      </c>
      <c r="P77">
        <f>IFERROR(AVERAGE(P37:P76),"-")</f>
        <v>3.3950000000000005</v>
      </c>
      <c r="Q77">
        <f>SUM(Q37:Q76)</f>
        <v>259</v>
      </c>
    </row>
    <row r="78" spans="1:17" x14ac:dyDescent="0.2">
      <c r="A78" t="s">
        <v>22</v>
      </c>
      <c r="B78" t="s">
        <v>23</v>
      </c>
      <c r="C78" s="1">
        <v>46107.467650462961</v>
      </c>
      <c r="D78" t="s">
        <v>24</v>
      </c>
      <c r="E78" t="s">
        <v>18</v>
      </c>
      <c r="F78" t="s">
        <v>19</v>
      </c>
      <c r="G78" t="s">
        <v>20</v>
      </c>
      <c r="H78" t="s">
        <v>19</v>
      </c>
      <c r="I78" t="s">
        <v>25</v>
      </c>
      <c r="J78" t="s">
        <v>26</v>
      </c>
      <c r="K78" t="s">
        <v>27</v>
      </c>
      <c r="L78">
        <v>172</v>
      </c>
      <c r="M78">
        <v>1</v>
      </c>
      <c r="N78" t="s">
        <v>19</v>
      </c>
      <c r="O78">
        <v>172</v>
      </c>
      <c r="P78" t="s">
        <v>19</v>
      </c>
      <c r="Q78">
        <v>0</v>
      </c>
    </row>
    <row r="79" spans="1:17" x14ac:dyDescent="0.2">
      <c r="A79" t="s">
        <v>22</v>
      </c>
      <c r="B79" t="s">
        <v>23</v>
      </c>
      <c r="C79" s="1">
        <v>46106.334340277775</v>
      </c>
      <c r="D79" t="s">
        <v>24</v>
      </c>
      <c r="E79" t="s">
        <v>18</v>
      </c>
      <c r="F79" t="s">
        <v>19</v>
      </c>
      <c r="G79" t="s">
        <v>20</v>
      </c>
      <c r="H79" t="s">
        <v>19</v>
      </c>
      <c r="I79" t="s">
        <v>47</v>
      </c>
      <c r="J79" t="s">
        <v>48</v>
      </c>
      <c r="K79" t="s">
        <v>49</v>
      </c>
      <c r="L79">
        <v>60</v>
      </c>
      <c r="M79">
        <v>0</v>
      </c>
      <c r="N79" t="s">
        <v>19</v>
      </c>
      <c r="O79">
        <v>60</v>
      </c>
      <c r="P79" t="s">
        <v>19</v>
      </c>
      <c r="Q79">
        <v>0</v>
      </c>
    </row>
    <row r="80" spans="1:17" x14ac:dyDescent="0.2">
      <c r="A80" t="s">
        <v>22</v>
      </c>
      <c r="B80" t="s">
        <v>23</v>
      </c>
      <c r="C80" s="1">
        <v>46104.334340277775</v>
      </c>
      <c r="D80" t="s">
        <v>24</v>
      </c>
      <c r="E80" t="s">
        <v>18</v>
      </c>
      <c r="F80" t="s">
        <v>19</v>
      </c>
      <c r="G80" t="s">
        <v>20</v>
      </c>
      <c r="H80" t="s">
        <v>19</v>
      </c>
      <c r="I80" t="s">
        <v>53</v>
      </c>
      <c r="J80" t="s">
        <v>54</v>
      </c>
      <c r="K80" t="s">
        <v>55</v>
      </c>
      <c r="L80">
        <v>119</v>
      </c>
      <c r="M80">
        <v>1</v>
      </c>
      <c r="N80" t="s">
        <v>19</v>
      </c>
      <c r="O80">
        <v>119</v>
      </c>
      <c r="P80" t="s">
        <v>19</v>
      </c>
      <c r="Q80">
        <v>0</v>
      </c>
    </row>
    <row r="81" spans="1:17" x14ac:dyDescent="0.2">
      <c r="A81" t="s">
        <v>22</v>
      </c>
      <c r="B81" t="s">
        <v>23</v>
      </c>
      <c r="C81" s="1">
        <v>46100.45952546296</v>
      </c>
      <c r="D81" t="s">
        <v>24</v>
      </c>
      <c r="E81" t="s">
        <v>18</v>
      </c>
      <c r="F81" t="s">
        <v>19</v>
      </c>
      <c r="G81" t="s">
        <v>20</v>
      </c>
      <c r="H81" t="s">
        <v>19</v>
      </c>
      <c r="I81" t="s">
        <v>60</v>
      </c>
      <c r="J81" t="s">
        <v>61</v>
      </c>
      <c r="K81" t="s">
        <v>62</v>
      </c>
      <c r="L81">
        <v>123</v>
      </c>
      <c r="M81">
        <v>1</v>
      </c>
      <c r="N81" t="s">
        <v>19</v>
      </c>
      <c r="O81">
        <v>123</v>
      </c>
      <c r="P81" t="s">
        <v>19</v>
      </c>
      <c r="Q81">
        <v>0</v>
      </c>
    </row>
    <row r="82" spans="1:17" x14ac:dyDescent="0.2">
      <c r="A82" t="s">
        <v>22</v>
      </c>
      <c r="B82" t="s">
        <v>23</v>
      </c>
      <c r="C82" s="1">
        <v>46099.336168981485</v>
      </c>
      <c r="D82" t="s">
        <v>24</v>
      </c>
      <c r="E82" t="s">
        <v>18</v>
      </c>
      <c r="F82" t="s">
        <v>19</v>
      </c>
      <c r="G82" t="s">
        <v>20</v>
      </c>
      <c r="H82" t="s">
        <v>19</v>
      </c>
      <c r="I82" t="s">
        <v>71</v>
      </c>
      <c r="J82" t="s">
        <v>72</v>
      </c>
      <c r="K82" t="s">
        <v>73</v>
      </c>
      <c r="L82">
        <v>121</v>
      </c>
      <c r="M82">
        <v>0</v>
      </c>
      <c r="N82" t="s">
        <v>19</v>
      </c>
      <c r="O82">
        <v>121</v>
      </c>
      <c r="P82" t="s">
        <v>19</v>
      </c>
      <c r="Q82">
        <v>0</v>
      </c>
    </row>
    <row r="83" spans="1:17" x14ac:dyDescent="0.2">
      <c r="A83" t="s">
        <v>22</v>
      </c>
      <c r="B83" t="s">
        <v>23</v>
      </c>
      <c r="C83" s="1">
        <v>46086.405960648146</v>
      </c>
      <c r="D83" t="s">
        <v>24</v>
      </c>
      <c r="E83" t="s">
        <v>18</v>
      </c>
      <c r="F83" t="s">
        <v>19</v>
      </c>
      <c r="G83" t="s">
        <v>20</v>
      </c>
      <c r="H83" t="s">
        <v>19</v>
      </c>
      <c r="I83" t="s">
        <v>105</v>
      </c>
      <c r="J83" t="s">
        <v>106</v>
      </c>
      <c r="K83" t="s">
        <v>107</v>
      </c>
      <c r="L83">
        <v>497</v>
      </c>
      <c r="M83">
        <v>4</v>
      </c>
      <c r="N83" t="s">
        <v>19</v>
      </c>
      <c r="O83">
        <v>497</v>
      </c>
      <c r="P83" t="s">
        <v>19</v>
      </c>
      <c r="Q83">
        <v>0</v>
      </c>
    </row>
    <row r="84" spans="1:17" x14ac:dyDescent="0.2">
      <c r="A84" t="s">
        <v>22</v>
      </c>
      <c r="B84" t="s">
        <v>23</v>
      </c>
      <c r="C84" s="1">
        <v>46077.438113425924</v>
      </c>
      <c r="D84" t="s">
        <v>24</v>
      </c>
      <c r="E84" t="s">
        <v>18</v>
      </c>
      <c r="F84" t="s">
        <v>19</v>
      </c>
      <c r="G84" t="s">
        <v>20</v>
      </c>
      <c r="H84" t="s">
        <v>19</v>
      </c>
      <c r="I84" t="s">
        <v>131</v>
      </c>
      <c r="J84" t="s">
        <v>132</v>
      </c>
      <c r="K84" t="s">
        <v>133</v>
      </c>
      <c r="L84">
        <v>92</v>
      </c>
      <c r="M84">
        <v>0</v>
      </c>
      <c r="N84" t="s">
        <v>19</v>
      </c>
      <c r="O84">
        <v>92</v>
      </c>
      <c r="P84" t="s">
        <v>19</v>
      </c>
      <c r="Q84">
        <v>0</v>
      </c>
    </row>
    <row r="85" spans="1:17" x14ac:dyDescent="0.2">
      <c r="A85" t="s">
        <v>22</v>
      </c>
      <c r="B85" t="s">
        <v>23</v>
      </c>
      <c r="C85" s="1">
        <v>46072.313310185185</v>
      </c>
      <c r="D85" t="s">
        <v>24</v>
      </c>
      <c r="E85" t="s">
        <v>18</v>
      </c>
      <c r="F85" t="s">
        <v>19</v>
      </c>
      <c r="G85" t="s">
        <v>20</v>
      </c>
      <c r="H85" t="s">
        <v>19</v>
      </c>
      <c r="I85" t="s">
        <v>150</v>
      </c>
      <c r="J85" t="s">
        <v>151</v>
      </c>
      <c r="K85" t="s">
        <v>152</v>
      </c>
      <c r="L85">
        <v>64</v>
      </c>
      <c r="M85">
        <v>6</v>
      </c>
      <c r="N85" t="s">
        <v>19</v>
      </c>
      <c r="O85">
        <v>64</v>
      </c>
      <c r="P85" t="s">
        <v>19</v>
      </c>
      <c r="Q85">
        <v>4</v>
      </c>
    </row>
    <row r="86" spans="1:17" x14ac:dyDescent="0.2">
      <c r="A86" t="s">
        <v>22</v>
      </c>
      <c r="B86" t="s">
        <v>23</v>
      </c>
      <c r="C86" s="1">
        <v>46057.354780092595</v>
      </c>
      <c r="D86" t="s">
        <v>24</v>
      </c>
      <c r="E86" t="s">
        <v>18</v>
      </c>
      <c r="F86" t="s">
        <v>19</v>
      </c>
      <c r="G86" t="s">
        <v>20</v>
      </c>
      <c r="H86" t="s">
        <v>19</v>
      </c>
      <c r="I86" t="s">
        <v>189</v>
      </c>
      <c r="J86" t="s">
        <v>190</v>
      </c>
      <c r="K86" t="s">
        <v>191</v>
      </c>
      <c r="L86">
        <v>172</v>
      </c>
      <c r="M86">
        <v>3</v>
      </c>
      <c r="N86" t="s">
        <v>19</v>
      </c>
      <c r="O86">
        <v>172</v>
      </c>
      <c r="P86" t="s">
        <v>19</v>
      </c>
      <c r="Q86">
        <v>0</v>
      </c>
    </row>
    <row r="87" spans="1:17" x14ac:dyDescent="0.2">
      <c r="A87" t="s">
        <v>22</v>
      </c>
      <c r="B87" t="s">
        <v>23</v>
      </c>
      <c r="C87" s="1">
        <v>46056.375891203701</v>
      </c>
      <c r="D87" t="s">
        <v>24</v>
      </c>
      <c r="E87" t="s">
        <v>18</v>
      </c>
      <c r="F87" t="s">
        <v>19</v>
      </c>
      <c r="G87" t="s">
        <v>20</v>
      </c>
      <c r="H87" t="s">
        <v>19</v>
      </c>
      <c r="I87" t="s">
        <v>195</v>
      </c>
      <c r="J87" t="s">
        <v>196</v>
      </c>
      <c r="K87" t="s">
        <v>197</v>
      </c>
      <c r="L87">
        <v>122</v>
      </c>
      <c r="M87">
        <v>3</v>
      </c>
      <c r="N87" t="s">
        <v>19</v>
      </c>
      <c r="O87">
        <v>122</v>
      </c>
      <c r="P87" t="s">
        <v>19</v>
      </c>
      <c r="Q87">
        <v>2</v>
      </c>
    </row>
    <row r="88" spans="1:17" x14ac:dyDescent="0.2">
      <c r="A88" t="s">
        <v>22</v>
      </c>
      <c r="B88" t="s">
        <v>23</v>
      </c>
      <c r="C88" s="1">
        <v>46052.359432870369</v>
      </c>
      <c r="D88" t="s">
        <v>24</v>
      </c>
      <c r="E88" t="s">
        <v>18</v>
      </c>
      <c r="F88" t="s">
        <v>19</v>
      </c>
      <c r="G88" t="s">
        <v>20</v>
      </c>
      <c r="H88" t="s">
        <v>19</v>
      </c>
      <c r="I88" t="s">
        <v>206</v>
      </c>
      <c r="J88" t="s">
        <v>207</v>
      </c>
      <c r="K88" t="s">
        <v>208</v>
      </c>
      <c r="L88">
        <v>109</v>
      </c>
      <c r="M88">
        <v>1</v>
      </c>
      <c r="N88" t="s">
        <v>19</v>
      </c>
      <c r="O88">
        <v>109</v>
      </c>
      <c r="P88" t="s">
        <v>19</v>
      </c>
      <c r="Q88">
        <v>0</v>
      </c>
    </row>
    <row r="89" spans="1:17" x14ac:dyDescent="0.2">
      <c r="A89" t="s">
        <v>22</v>
      </c>
      <c r="B89" t="s">
        <v>23</v>
      </c>
      <c r="C89" s="1">
        <v>46049.396261574075</v>
      </c>
      <c r="D89" t="s">
        <v>24</v>
      </c>
      <c r="E89" t="s">
        <v>18</v>
      </c>
      <c r="F89" t="s">
        <v>19</v>
      </c>
      <c r="G89" t="s">
        <v>20</v>
      </c>
      <c r="H89" t="s">
        <v>19</v>
      </c>
      <c r="I89" t="s">
        <v>222</v>
      </c>
      <c r="J89" t="s">
        <v>223</v>
      </c>
      <c r="K89" t="s">
        <v>224</v>
      </c>
      <c r="L89">
        <v>111</v>
      </c>
      <c r="M89">
        <v>1</v>
      </c>
      <c r="N89" t="s">
        <v>19</v>
      </c>
      <c r="O89">
        <v>111</v>
      </c>
      <c r="P89" t="s">
        <v>19</v>
      </c>
      <c r="Q89">
        <v>0</v>
      </c>
    </row>
    <row r="90" spans="1:17" x14ac:dyDescent="0.2">
      <c r="A90" t="s">
        <v>22</v>
      </c>
      <c r="B90" t="s">
        <v>23</v>
      </c>
      <c r="C90" s="1">
        <v>46043.382233796299</v>
      </c>
      <c r="D90" t="s">
        <v>24</v>
      </c>
      <c r="E90" t="s">
        <v>18</v>
      </c>
      <c r="F90" t="s">
        <v>19</v>
      </c>
      <c r="G90" t="s">
        <v>20</v>
      </c>
      <c r="H90" t="s">
        <v>19</v>
      </c>
      <c r="I90" t="s">
        <v>228</v>
      </c>
      <c r="J90" t="s">
        <v>229</v>
      </c>
      <c r="K90" t="s">
        <v>230</v>
      </c>
      <c r="L90">
        <v>107</v>
      </c>
      <c r="M90">
        <v>3</v>
      </c>
      <c r="N90" t="s">
        <v>19</v>
      </c>
      <c r="O90">
        <v>107</v>
      </c>
      <c r="P90" t="s">
        <v>19</v>
      </c>
      <c r="Q90">
        <v>0</v>
      </c>
    </row>
    <row r="91" spans="1:17" x14ac:dyDescent="0.2">
      <c r="A91" t="s">
        <v>22</v>
      </c>
      <c r="B91" t="s">
        <v>23</v>
      </c>
      <c r="C91" s="1">
        <v>46036.313287037039</v>
      </c>
      <c r="D91" t="s">
        <v>24</v>
      </c>
      <c r="E91" t="s">
        <v>18</v>
      </c>
      <c r="F91" t="s">
        <v>19</v>
      </c>
      <c r="G91" t="s">
        <v>20</v>
      </c>
      <c r="H91" t="s">
        <v>19</v>
      </c>
      <c r="I91" t="s">
        <v>246</v>
      </c>
      <c r="J91" t="s">
        <v>247</v>
      </c>
      <c r="K91" t="s">
        <v>248</v>
      </c>
      <c r="L91">
        <v>45</v>
      </c>
      <c r="M91">
        <v>3</v>
      </c>
      <c r="N91" t="s">
        <v>19</v>
      </c>
      <c r="O91">
        <v>45</v>
      </c>
      <c r="P91" t="s">
        <v>19</v>
      </c>
      <c r="Q91">
        <v>1</v>
      </c>
    </row>
    <row r="92" spans="1:17" x14ac:dyDescent="0.2">
      <c r="A92" t="s">
        <v>22</v>
      </c>
      <c r="B92" t="s">
        <v>23</v>
      </c>
      <c r="C92" s="1">
        <v>46034.333749999998</v>
      </c>
      <c r="D92" t="s">
        <v>24</v>
      </c>
      <c r="E92" t="s">
        <v>18</v>
      </c>
      <c r="F92" t="s">
        <v>19</v>
      </c>
      <c r="G92" t="s">
        <v>20</v>
      </c>
      <c r="H92" t="s">
        <v>19</v>
      </c>
      <c r="I92" t="s">
        <v>254</v>
      </c>
      <c r="J92" t="s">
        <v>255</v>
      </c>
      <c r="K92" t="s">
        <v>256</v>
      </c>
      <c r="L92">
        <v>180</v>
      </c>
      <c r="M92">
        <v>1</v>
      </c>
      <c r="N92" t="s">
        <v>19</v>
      </c>
      <c r="O92">
        <v>180</v>
      </c>
      <c r="P92" t="s">
        <v>19</v>
      </c>
      <c r="Q92">
        <v>0</v>
      </c>
    </row>
    <row r="93" spans="1:17" x14ac:dyDescent="0.2">
      <c r="A93" t="s">
        <v>22</v>
      </c>
      <c r="B93" t="s">
        <v>23</v>
      </c>
      <c r="C93" s="1">
        <v>46027.333611111113</v>
      </c>
      <c r="D93" t="s">
        <v>24</v>
      </c>
      <c r="E93" t="s">
        <v>18</v>
      </c>
      <c r="F93" t="s">
        <v>19</v>
      </c>
      <c r="G93" t="s">
        <v>20</v>
      </c>
      <c r="H93" t="s">
        <v>19</v>
      </c>
      <c r="I93" t="s">
        <v>268</v>
      </c>
      <c r="J93" t="s">
        <v>269</v>
      </c>
      <c r="K93" t="s">
        <v>270</v>
      </c>
      <c r="L93">
        <v>118</v>
      </c>
      <c r="M93">
        <v>2</v>
      </c>
      <c r="N93" t="s">
        <v>19</v>
      </c>
      <c r="O93">
        <v>118</v>
      </c>
      <c r="P93" t="s">
        <v>19</v>
      </c>
      <c r="Q93">
        <v>0</v>
      </c>
    </row>
    <row r="94" spans="1:17" x14ac:dyDescent="0.2">
      <c r="A94" t="s">
        <v>273</v>
      </c>
      <c r="L94">
        <f>SUM(L78:L93)</f>
        <v>2212</v>
      </c>
      <c r="M94">
        <f>SUM(M78:M93)</f>
        <v>30</v>
      </c>
      <c r="N94">
        <f>SUM(N78:N93)</f>
        <v>0</v>
      </c>
      <c r="O94">
        <f>SUMIF(O78:O93,"&gt;0")</f>
        <v>2212</v>
      </c>
      <c r="P94" t="str">
        <f>IFERROR(AVERAGE(P78:P93),"-")</f>
        <v>-</v>
      </c>
      <c r="Q94">
        <f>SUM(Q78:Q93)</f>
        <v>7</v>
      </c>
    </row>
  </sheetData>
  <sortState xmlns:xlrd2="http://schemas.microsoft.com/office/spreadsheetml/2017/richdata2" ref="A2:V93">
    <sortCondition ref="A2:A9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02_Content performance_Content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 E. Smith</cp:lastModifiedBy>
  <dcterms:created xsi:type="dcterms:W3CDTF">2026-04-23T15:46:46Z</dcterms:created>
  <dcterms:modified xsi:type="dcterms:W3CDTF">2026-04-24T21:20:22Z</dcterms:modified>
</cp:coreProperties>
</file>